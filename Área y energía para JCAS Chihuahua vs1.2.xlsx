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olfo\Desktop\"/>
    </mc:Choice>
  </mc:AlternateContent>
  <xr:revisionPtr revIDLastSave="0" documentId="13_ncr:1_{C29D3428-A762-47F7-AD71-B879F18E6AAE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Costo $ energía" sheetId="1" r:id="rId1"/>
    <sheet name="Energia kWh de Operacion" sheetId="2" r:id="rId2"/>
    <sheet name="Volumen H2O m3" sheetId="3" r:id="rId3"/>
    <sheet name="Resumen" sheetId="4" r:id="rId4"/>
    <sheet name="Produccion energía eléctrica" sheetId="5" r:id="rId5"/>
    <sheet name="Model $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D7" i="6"/>
  <c r="S9" i="4"/>
  <c r="Q33" i="4"/>
  <c r="R33" i="4" s="1"/>
  <c r="S33" i="4" s="1"/>
  <c r="P32" i="4"/>
  <c r="L29" i="4"/>
  <c r="P33" i="4" s="1"/>
  <c r="B6" i="5"/>
  <c r="G21" i="5"/>
  <c r="M12" i="4" s="1"/>
  <c r="L4" i="4"/>
  <c r="M4" i="4" s="1"/>
  <c r="N4" i="4" s="1"/>
  <c r="L5" i="4"/>
  <c r="M5" i="4" s="1"/>
  <c r="N5" i="4" s="1"/>
  <c r="L6" i="4"/>
  <c r="M6" i="4" s="1"/>
  <c r="N6" i="4" s="1"/>
  <c r="L3" i="4"/>
  <c r="L7" i="4" l="1"/>
  <c r="M7" i="4" s="1"/>
  <c r="N7" i="4" s="1"/>
  <c r="M3" i="4"/>
  <c r="N3" i="4" s="1"/>
  <c r="N12" i="4"/>
  <c r="P12" i="4" l="1"/>
  <c r="K7" i="4"/>
  <c r="J7" i="4"/>
  <c r="H7" i="4"/>
  <c r="G7" i="4"/>
  <c r="E7" i="4"/>
  <c r="D7" i="4"/>
  <c r="O5" i="2"/>
  <c r="N5" i="2" s="1"/>
  <c r="P5" i="2" s="1"/>
  <c r="T5" i="2" s="1"/>
  <c r="V5" i="2" s="1"/>
  <c r="W5" i="2" s="1"/>
  <c r="O3" i="2"/>
  <c r="N3" i="2" s="1"/>
  <c r="P3" i="2" s="1"/>
  <c r="T3" i="2" s="1"/>
  <c r="V3" i="2" s="1"/>
  <c r="W3" i="2" s="1"/>
  <c r="O6" i="2"/>
  <c r="N6" i="2" s="1"/>
  <c r="P6" i="2" s="1"/>
  <c r="T6" i="2" s="1"/>
  <c r="V6" i="2" s="1"/>
  <c r="W6" i="2" s="1"/>
  <c r="O4" i="2"/>
  <c r="N4" i="2" s="1"/>
  <c r="P4" i="2" s="1"/>
  <c r="O5" i="1"/>
  <c r="N5" i="1" s="1"/>
  <c r="P5" i="1" s="1"/>
  <c r="Q5" i="1" s="1"/>
  <c r="O3" i="1"/>
  <c r="N3" i="1" s="1"/>
  <c r="P3" i="1" s="1"/>
  <c r="Q3" i="1" s="1"/>
  <c r="O6" i="1"/>
  <c r="N6" i="1" s="1"/>
  <c r="P6" i="1" s="1"/>
  <c r="Q6" i="1" s="1"/>
  <c r="O4" i="1"/>
  <c r="N4" i="1" s="1"/>
  <c r="P4" i="1" s="1"/>
  <c r="O5" i="3"/>
  <c r="N5" i="3" s="1"/>
  <c r="P5" i="3" s="1"/>
  <c r="O3" i="3"/>
  <c r="N3" i="3" s="1"/>
  <c r="P3" i="3" s="1"/>
  <c r="O6" i="3"/>
  <c r="N6" i="3" s="1"/>
  <c r="P6" i="3" s="1"/>
  <c r="O4" i="3"/>
  <c r="N4" i="3" s="1"/>
  <c r="P4" i="3" s="1"/>
  <c r="M15" i="4" l="1"/>
  <c r="M23" i="4" s="1"/>
  <c r="N23" i="4" s="1"/>
  <c r="O23" i="4" s="1"/>
  <c r="P23" i="4" s="1"/>
  <c r="Q23" i="4" s="1"/>
  <c r="T4" i="2"/>
  <c r="V4" i="2" s="1"/>
  <c r="W4" i="2" s="1"/>
  <c r="Q3" i="2"/>
  <c r="M14" i="4"/>
  <c r="Q5" i="2"/>
  <c r="M16" i="4"/>
  <c r="S15" i="4"/>
  <c r="T15" i="4" s="1"/>
  <c r="Q6" i="2"/>
  <c r="M17" i="4"/>
  <c r="N15" i="4"/>
  <c r="Q6" i="3"/>
  <c r="Q5" i="3"/>
  <c r="Q3" i="3"/>
  <c r="Q4" i="3"/>
  <c r="P7" i="3"/>
  <c r="Q4" i="2"/>
  <c r="P7" i="2"/>
  <c r="Q4" i="1"/>
  <c r="M18" i="4" l="1"/>
  <c r="E14" i="6" s="1"/>
  <c r="F14" i="6" s="1"/>
  <c r="G14" i="6" s="1"/>
  <c r="H14" i="6" s="1"/>
  <c r="Q7" i="2"/>
  <c r="I14" i="6"/>
  <c r="M25" i="4"/>
  <c r="N17" i="4"/>
  <c r="M24" i="4"/>
  <c r="N16" i="4"/>
  <c r="P15" i="4"/>
  <c r="N35" i="4"/>
  <c r="R15" i="4"/>
  <c r="M22" i="4"/>
  <c r="N14" i="4"/>
  <c r="Q7" i="3"/>
  <c r="J14" i="6" l="1"/>
  <c r="N22" i="4"/>
  <c r="O22" i="4" s="1"/>
  <c r="P22" i="4" s="1"/>
  <c r="Q22" i="4" s="1"/>
  <c r="S14" i="4"/>
  <c r="T14" i="4" s="1"/>
  <c r="N24" i="4"/>
  <c r="O24" i="4" s="1"/>
  <c r="P24" i="4" s="1"/>
  <c r="Q24" i="4" s="1"/>
  <c r="S16" i="4"/>
  <c r="T16" i="4" s="1"/>
  <c r="N34" i="4"/>
  <c r="P14" i="4"/>
  <c r="R14" i="4"/>
  <c r="N18" i="4"/>
  <c r="S8" i="4" s="1"/>
  <c r="M35" i="4"/>
  <c r="O35" i="4"/>
  <c r="P35" i="4" s="1"/>
  <c r="Q35" i="4" s="1"/>
  <c r="R35" i="4" s="1"/>
  <c r="S35" i="4" s="1"/>
  <c r="N36" i="4"/>
  <c r="R16" i="4"/>
  <c r="P16" i="4"/>
  <c r="P17" i="4"/>
  <c r="R17" i="4"/>
  <c r="N37" i="4"/>
  <c r="N25" i="4"/>
  <c r="O25" i="4" s="1"/>
  <c r="P25" i="4" s="1"/>
  <c r="Q25" i="4" s="1"/>
  <c r="S17" i="4"/>
  <c r="T17" i="4" s="1"/>
  <c r="K14" i="6" l="1"/>
  <c r="Q26" i="4"/>
  <c r="R18" i="4"/>
  <c r="O36" i="4"/>
  <c r="P36" i="4" s="1"/>
  <c r="Q36" i="4" s="1"/>
  <c r="R36" i="4" s="1"/>
  <c r="S36" i="4" s="1"/>
  <c r="M36" i="4"/>
  <c r="P18" i="4"/>
  <c r="M37" i="4"/>
  <c r="O37" i="4"/>
  <c r="P37" i="4" s="1"/>
  <c r="Q37" i="4" s="1"/>
  <c r="R37" i="4" s="1"/>
  <c r="S37" i="4" s="1"/>
  <c r="M34" i="4"/>
  <c r="O34" i="4"/>
  <c r="L14" i="6" l="1"/>
  <c r="L41" i="4"/>
  <c r="P34" i="4"/>
  <c r="Q34" i="4" s="1"/>
  <c r="R34" i="4" s="1"/>
  <c r="S34" i="4" s="1"/>
  <c r="O38" i="4"/>
  <c r="P38" i="4" s="1"/>
  <c r="Q38" i="4" s="1"/>
  <c r="R38" i="4" s="1"/>
  <c r="S38" i="4" s="1"/>
  <c r="R8" i="4"/>
  <c r="L43" i="4"/>
  <c r="M14" i="6" l="1"/>
  <c r="L45" i="4"/>
  <c r="Q42" i="4" l="1"/>
  <c r="D3" i="6"/>
  <c r="L46" i="4"/>
  <c r="N14" i="6"/>
  <c r="D4" i="6" l="1"/>
  <c r="E27" i="6"/>
  <c r="E20" i="6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D5" i="6"/>
  <c r="O14" i="6"/>
  <c r="E16" i="6" l="1"/>
  <c r="E17" i="6"/>
  <c r="F27" i="6"/>
  <c r="E28" i="6"/>
  <c r="P14" i="6"/>
  <c r="G27" i="6" l="1"/>
  <c r="F28" i="6"/>
  <c r="E18" i="6"/>
  <c r="F16" i="6" s="1"/>
  <c r="F17" i="6"/>
  <c r="G17" i="6" s="1"/>
  <c r="F18" i="6"/>
  <c r="G16" i="6" s="1"/>
  <c r="G22" i="6" s="1"/>
  <c r="G24" i="6" s="1"/>
  <c r="E22" i="6"/>
  <c r="E24" i="6" s="1"/>
  <c r="Q14" i="6"/>
  <c r="E30" i="6" l="1"/>
  <c r="G18" i="6"/>
  <c r="H16" i="6" s="1"/>
  <c r="H22" i="6" s="1"/>
  <c r="H24" i="6" s="1"/>
  <c r="H17" i="6"/>
  <c r="F22" i="6"/>
  <c r="F24" i="6" s="1"/>
  <c r="F30" i="6" s="1"/>
  <c r="H27" i="6"/>
  <c r="G28" i="6"/>
  <c r="G30" i="6" s="1"/>
  <c r="R14" i="6"/>
  <c r="G34" i="6" l="1"/>
  <c r="G33" i="6"/>
  <c r="I27" i="6"/>
  <c r="I28" i="6" s="1"/>
  <c r="H28" i="6"/>
  <c r="F34" i="6"/>
  <c r="F33" i="6"/>
  <c r="H18" i="6"/>
  <c r="I16" i="6" s="1"/>
  <c r="I22" i="6" s="1"/>
  <c r="I24" i="6" s="1"/>
  <c r="I17" i="6"/>
  <c r="H30" i="6"/>
  <c r="F25" i="6"/>
  <c r="G25" i="6" s="1"/>
  <c r="H25" i="6" s="1"/>
  <c r="E34" i="6"/>
  <c r="E33" i="6"/>
  <c r="F31" i="6"/>
  <c r="G31" i="6" s="1"/>
  <c r="S14" i="6"/>
  <c r="J17" i="6" l="1"/>
  <c r="I18" i="6"/>
  <c r="J16" i="6" s="1"/>
  <c r="J22" i="6" s="1"/>
  <c r="J24" i="6" s="1"/>
  <c r="I30" i="6"/>
  <c r="I25" i="6"/>
  <c r="H33" i="6"/>
  <c r="H34" i="6"/>
  <c r="H31" i="6"/>
  <c r="I34" i="6" l="1"/>
  <c r="I33" i="6"/>
  <c r="I31" i="6"/>
  <c r="J28" i="6"/>
  <c r="J25" i="6"/>
  <c r="J30" i="6"/>
  <c r="K17" i="6"/>
  <c r="J18" i="6"/>
  <c r="K16" i="6" s="1"/>
  <c r="K22" i="6" s="1"/>
  <c r="K24" i="6" s="1"/>
  <c r="K28" i="6" s="1"/>
  <c r="K30" i="6" s="1"/>
  <c r="K25" i="6" l="1"/>
  <c r="K33" i="6"/>
  <c r="K34" i="6"/>
  <c r="L17" i="6"/>
  <c r="K18" i="6"/>
  <c r="L16" i="6" s="1"/>
  <c r="L22" i="6" s="1"/>
  <c r="L24" i="6" s="1"/>
  <c r="J33" i="6"/>
  <c r="J34" i="6"/>
  <c r="J31" i="6"/>
  <c r="K31" i="6" s="1"/>
  <c r="L28" i="6" l="1"/>
  <c r="L30" i="6" s="1"/>
  <c r="L25" i="6"/>
  <c r="M17" i="6"/>
  <c r="L18" i="6"/>
  <c r="M16" i="6" s="1"/>
  <c r="M22" i="6" s="1"/>
  <c r="M24" i="6" s="1"/>
  <c r="M28" i="6" l="1"/>
  <c r="M30" i="6" s="1"/>
  <c r="M25" i="6"/>
  <c r="N17" i="6"/>
  <c r="M18" i="6"/>
  <c r="N16" i="6" s="1"/>
  <c r="N22" i="6" s="1"/>
  <c r="N24" i="6" s="1"/>
  <c r="L33" i="6"/>
  <c r="L31" i="6"/>
  <c r="L34" i="6"/>
  <c r="N28" i="6" l="1"/>
  <c r="N25" i="6"/>
  <c r="N30" i="6"/>
  <c r="O17" i="6"/>
  <c r="N18" i="6"/>
  <c r="O16" i="6" s="1"/>
  <c r="O22" i="6" s="1"/>
  <c r="O24" i="6" s="1"/>
  <c r="M33" i="6"/>
  <c r="M31" i="6"/>
  <c r="N31" i="6" s="1"/>
  <c r="M34" i="6"/>
  <c r="O28" i="6" l="1"/>
  <c r="O30" i="6" s="1"/>
  <c r="O25" i="6"/>
  <c r="P17" i="6"/>
  <c r="O18" i="6"/>
  <c r="P16" i="6" s="1"/>
  <c r="P22" i="6" s="1"/>
  <c r="P24" i="6" s="1"/>
  <c r="N34" i="6"/>
  <c r="N33" i="6"/>
  <c r="P28" i="6" l="1"/>
  <c r="P30" i="6" s="1"/>
  <c r="P25" i="6"/>
  <c r="Q17" i="6"/>
  <c r="P18" i="6"/>
  <c r="Q16" i="6" s="1"/>
  <c r="Q22" i="6" s="1"/>
  <c r="Q24" i="6" s="1"/>
  <c r="O34" i="6"/>
  <c r="O31" i="6"/>
  <c r="O33" i="6"/>
  <c r="Q25" i="6" l="1"/>
  <c r="Q28" i="6"/>
  <c r="Q30" i="6" s="1"/>
  <c r="R17" i="6"/>
  <c r="Q18" i="6"/>
  <c r="R16" i="6" s="1"/>
  <c r="R22" i="6" s="1"/>
  <c r="R24" i="6" s="1"/>
  <c r="P34" i="6"/>
  <c r="P33" i="6"/>
  <c r="P31" i="6"/>
  <c r="R25" i="6" l="1"/>
  <c r="R28" i="6"/>
  <c r="R30" i="6" s="1"/>
  <c r="S17" i="6"/>
  <c r="R18" i="6"/>
  <c r="S16" i="6" s="1"/>
  <c r="S22" i="6" s="1"/>
  <c r="S24" i="6" s="1"/>
  <c r="Q34" i="6"/>
  <c r="Q31" i="6"/>
  <c r="Q33" i="6"/>
  <c r="S25" i="6" l="1"/>
  <c r="S28" i="6"/>
  <c r="S30" i="6" s="1"/>
  <c r="S18" i="6"/>
  <c r="R34" i="6"/>
  <c r="R33" i="6"/>
  <c r="R31" i="6"/>
  <c r="S31" i="6" l="1"/>
  <c r="S33" i="6"/>
  <c r="S34" i="6"/>
  <c r="P7" i="1"/>
  <c r="Q7" i="1"/>
</calcChain>
</file>

<file path=xl/sharedStrings.xml><?xml version="1.0" encoding="utf-8"?>
<sst xmlns="http://schemas.openxmlformats.org/spreadsheetml/2006/main" count="206" uniqueCount="128">
  <si>
    <t>Chihuahua</t>
  </si>
  <si>
    <t>Cuauhtemoc</t>
  </si>
  <si>
    <t>Juarez</t>
  </si>
  <si>
    <t>Parral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</si>
  <si>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</si>
  <si>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</si>
  <si>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</si>
  <si>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</si>
  <si>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</si>
  <si>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</si>
  <si>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</si>
  <si>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</si>
  <si>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 xml:space="preserve">Septiembre </t>
  </si>
  <si>
    <t xml:space="preserve">Octubre </t>
  </si>
  <si>
    <t>Noviembre</t>
  </si>
  <si>
    <t>Diciembre</t>
  </si>
  <si>
    <t>Para el dato Diciembre</t>
  </si>
  <si>
    <t>kWh/año</t>
  </si>
  <si>
    <t>kWh/día</t>
  </si>
  <si>
    <t>$ MN Energia/ año</t>
  </si>
  <si>
    <t>$ MN Energia/día</t>
  </si>
  <si>
    <t>Fila PIGo 30 y Cuahtëmoc 31</t>
  </si>
  <si>
    <t>Fila PIGO 47 y Cuahtémoc 56</t>
  </si>
  <si>
    <t>Fila PIGO 57 y Cuahtémoc 69</t>
  </si>
  <si>
    <t>JMAS</t>
  </si>
  <si>
    <t>Agua M3/año</t>
  </si>
  <si>
    <t>Agua M3/día</t>
  </si>
  <si>
    <t>Watts pico</t>
  </si>
  <si>
    <t>Wp</t>
  </si>
  <si>
    <t>MWp</t>
  </si>
  <si>
    <t>Helioscope</t>
  </si>
  <si>
    <t>KWh/año (AC)</t>
  </si>
  <si>
    <t>usd/Wp</t>
  </si>
  <si>
    <t>$USD</t>
  </si>
  <si>
    <t>kWh/dia</t>
  </si>
  <si>
    <t>40 ft</t>
  </si>
  <si>
    <t>3 hrs almacenamiento</t>
  </si>
  <si>
    <t>1 BESS = 5MWh</t>
  </si>
  <si>
    <t>kW/h</t>
  </si>
  <si>
    <t>Month</t>
  </si>
  <si>
    <t>GHI (kWh/m2)</t>
  </si>
  <si>
    <t>POA (kWh/m2)</t>
  </si>
  <si>
    <t>Shaded (kWh/m2)</t>
  </si>
  <si>
    <t>Nameplate (kWh)</t>
  </si>
  <si>
    <t>Grid (kWh)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</si>
  <si>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</si>
  <si>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</si>
  <si>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</si>
  <si>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</si>
  <si>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</si>
  <si>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</si>
  <si>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</si>
  <si>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</si>
  <si>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</si>
  <si>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</si>
  <si>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</si>
  <si>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</si>
  <si>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No. Paneles</t>
  </si>
  <si>
    <t>Ciudad</t>
  </si>
  <si>
    <t>kWh</t>
  </si>
  <si>
    <t>3 hrs operación</t>
  </si>
  <si>
    <t>BESS</t>
  </si>
  <si>
    <t>1 contenedor 40ft</t>
  </si>
  <si>
    <t>PV Farm</t>
  </si>
  <si>
    <t>No. Paneles (Wp)</t>
  </si>
  <si>
    <t>Capacidad (Wp)</t>
  </si>
  <si>
    <t>Cap Instalada (Wp</t>
  </si>
  <si>
    <t>m2</t>
  </si>
  <si>
    <t>área + caminos (m2)</t>
  </si>
  <si>
    <t>área (m2)</t>
  </si>
  <si>
    <t>capacidad MWp</t>
  </si>
  <si>
    <t>KWh/ año</t>
  </si>
  <si>
    <t>Baterias kW</t>
  </si>
  <si>
    <t># TU 40´</t>
  </si>
  <si>
    <t>Costo</t>
  </si>
  <si>
    <t>Venta</t>
  </si>
  <si>
    <t>1 BESS =5,000 kWh/ contenedores</t>
  </si>
  <si>
    <t>$850,000 x Contenedor</t>
  </si>
  <si>
    <t>EPC</t>
  </si>
  <si>
    <t>Desarrollo $40,000</t>
  </si>
  <si>
    <t>CAPEX</t>
  </si>
  <si>
    <t>China Energy, ENEL, Acciona</t>
  </si>
  <si>
    <t>OPEX</t>
  </si>
  <si>
    <t>Solarig, Acciona, Iberdrola</t>
  </si>
  <si>
    <t>del CAPEX</t>
  </si>
  <si>
    <t>área en hectareas</t>
  </si>
  <si>
    <t>Margen Obra</t>
  </si>
  <si>
    <t>paneles</t>
  </si>
  <si>
    <t>para la tarifa de arranque simulado</t>
  </si>
  <si>
    <t>Capex</t>
  </si>
  <si>
    <t>Capital 30%</t>
  </si>
  <si>
    <t>Deuda 70%</t>
  </si>
  <si>
    <t>TIIE</t>
  </si>
  <si>
    <t>Spread</t>
  </si>
  <si>
    <t>Taza</t>
  </si>
  <si>
    <t>Amortización años</t>
  </si>
  <si>
    <t>Arranque tarifa kWh</t>
  </si>
  <si>
    <t>Tipo de cambio</t>
  </si>
  <si>
    <t>Ingresos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</si>
  <si>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</si>
  <si>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</si>
  <si>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</si>
  <si>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</si>
  <si>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</si>
  <si>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</si>
  <si>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</si>
  <si>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</si>
  <si>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</si>
  <si>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</si>
  <si>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</si>
  <si>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 12</t>
  </si>
  <si>
    <t>Año 13</t>
  </si>
  <si>
    <t>Año 14</t>
  </si>
  <si>
    <t>Año 15</t>
  </si>
  <si>
    <t>Incremento anual CFE</t>
  </si>
  <si>
    <t>Intereses</t>
  </si>
  <si>
    <t>Capital</t>
  </si>
  <si>
    <t>Opex</t>
  </si>
  <si>
    <t>Egresos</t>
  </si>
  <si>
    <t>Margen antes de impuestos</t>
  </si>
  <si>
    <t>Acumulado</t>
  </si>
  <si>
    <t>ISR</t>
  </si>
  <si>
    <t>Utilidad</t>
  </si>
  <si>
    <t>Utilidad acumulada</t>
  </si>
  <si>
    <t>Utilidad del capital en %</t>
  </si>
  <si>
    <t>Utilidad del proyecto en %</t>
  </si>
  <si>
    <t>Premisas</t>
  </si>
  <si>
    <t>Amotización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</si>
</sst>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&quot;$&quot;* #,##0_);_(&quot;$&quot;* \(#,##0\);_(&quot;$&quot;* &quot;-&quot;??_);_(@_)"/>
    <numFmt numFmtId="168" formatCode="_-[$$-409]* #,##0.00_ ;_-[$$-409]* \-#,##0.00\ ;_-[$$-409]* &quot;-&quot;??_ ;_-@_ "/>
    <numFmt numFmtId="169" formatCode="_-[$$-409]* #,##0_ ;_-[$$-409]* \-#,##0\ ;_-[$$-409]* &quot;-&quot;??_ ;_-@_ "/>
    <numFmt numFmtId="171" formatCode="_-* #,##0.0_-;\-* #,##0.0_-;_-* &quot;-&quot;??_-;_-@_-"/>
    <numFmt numFmtId="172" formatCode="_([$$-409]* #,##0.00_);_([$$-409]* \(#,##0.00\);_([$$-409]* &quot;-&quot;??_);_(@_)"/>
    <numFmt numFmtId="175" formatCode="&quot;$&quot;#,##0"/>
    <numFmt numFmtId="181" formatCode="_(&quot;$&quot;* #,##0.0000_);_(&quot;$&quot;* \(#,##0.0000\);_(&quot;$&quot;* &quot;-&quot;??_);_(@_)"/>
    <numFmt numFmtId="183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3F3F76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sz val="10"/>
      <color rgb="FF3F3F76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medium">
        <color theme="3"/>
      </left>
      <right style="thin">
        <color rgb="FF7F7F7F"/>
      </right>
      <top style="medium">
        <color theme="3"/>
      </top>
      <bottom/>
      <diagonal/>
    </border>
    <border>
      <left style="medium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medium">
        <color theme="3"/>
      </right>
      <top style="medium">
        <color indexed="64"/>
      </top>
      <bottom style="medium">
        <color indexed="64"/>
      </bottom>
      <diagonal/>
    </border>
    <border>
      <left style="medium">
        <color theme="3"/>
      </left>
      <right style="medium">
        <color theme="3"/>
      </right>
      <top style="medium">
        <color indexed="64"/>
      </top>
      <bottom style="medium">
        <color indexed="64"/>
      </bottom>
      <diagonal/>
    </border>
    <border>
      <left style="medium">
        <color theme="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3" borderId="8" applyNumberFormat="0" applyAlignment="0" applyProtection="0"/>
    <xf numFmtId="0" fontId="4" fillId="4" borderId="8" applyNumberFormat="0" applyAlignment="0" applyProtection="0"/>
    <xf numFmtId="0" fontId="1" fillId="5" borderId="10" applyNumberFormat="0" applyFont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Border="1"/>
    <xf numFmtId="165" fontId="0" fillId="0" borderId="4" xfId="1" applyNumberFormat="1" applyFont="1" applyBorder="1"/>
    <xf numFmtId="165" fontId="0" fillId="0" borderId="2" xfId="1" applyNumberFormat="1" applyFont="1" applyBorder="1"/>
    <xf numFmtId="165" fontId="0" fillId="0" borderId="5" xfId="1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65" fontId="0" fillId="0" borderId="6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2" fillId="0" borderId="1" xfId="0" applyNumberFormat="1" applyFont="1" applyBorder="1"/>
    <xf numFmtId="166" fontId="2" fillId="0" borderId="7" xfId="0" applyNumberFormat="1" applyFont="1" applyBorder="1"/>
    <xf numFmtId="166" fontId="2" fillId="0" borderId="6" xfId="0" applyNumberFormat="1" applyFont="1" applyBorder="1"/>
    <xf numFmtId="166" fontId="2" fillId="0" borderId="4" xfId="0" applyNumberFormat="1" applyFont="1" applyBorder="1"/>
    <xf numFmtId="166" fontId="2" fillId="0" borderId="5" xfId="0" applyNumberFormat="1" applyFont="1" applyBorder="1"/>
    <xf numFmtId="0" fontId="2" fillId="0" borderId="0" xfId="0" applyFont="1" applyAlignment="1">
      <alignment horizontal="left"/>
    </xf>
    <xf numFmtId="167" fontId="0" fillId="0" borderId="0" xfId="2" applyNumberFormat="1" applyFont="1" applyBorder="1" applyAlignment="1">
      <alignment horizontal="center"/>
    </xf>
    <xf numFmtId="167" fontId="0" fillId="0" borderId="4" xfId="2" applyNumberFormat="1" applyFont="1" applyBorder="1" applyAlignment="1">
      <alignment horizontal="center"/>
    </xf>
    <xf numFmtId="167" fontId="0" fillId="0" borderId="6" xfId="2" applyNumberFormat="1" applyFont="1" applyBorder="1"/>
    <xf numFmtId="167" fontId="2" fillId="0" borderId="6" xfId="2" applyNumberFormat="1" applyFont="1" applyBorder="1"/>
    <xf numFmtId="167" fontId="0" fillId="0" borderId="4" xfId="2" applyNumberFormat="1" applyFont="1" applyBorder="1"/>
    <xf numFmtId="167" fontId="2" fillId="0" borderId="4" xfId="2" applyNumberFormat="1" applyFont="1" applyBorder="1"/>
    <xf numFmtId="167" fontId="0" fillId="0" borderId="2" xfId="2" applyNumberFormat="1" applyFont="1" applyBorder="1" applyAlignment="1">
      <alignment horizontal="center"/>
    </xf>
    <xf numFmtId="167" fontId="0" fillId="0" borderId="5" xfId="2" applyNumberFormat="1" applyFont="1" applyBorder="1" applyAlignment="1">
      <alignment horizontal="center"/>
    </xf>
    <xf numFmtId="167" fontId="2" fillId="0" borderId="5" xfId="2" applyNumberFormat="1" applyFont="1" applyBorder="1"/>
    <xf numFmtId="167" fontId="0" fillId="0" borderId="0" xfId="2" applyNumberFormat="1" applyFont="1" applyAlignment="1">
      <alignment horizontal="center"/>
    </xf>
    <xf numFmtId="167" fontId="0" fillId="0" borderId="0" xfId="2" applyNumberFormat="1" applyFont="1"/>
    <xf numFmtId="167" fontId="2" fillId="0" borderId="1" xfId="2" applyNumberFormat="1" applyFont="1" applyBorder="1"/>
    <xf numFmtId="167" fontId="2" fillId="0" borderId="7" xfId="2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2" fillId="0" borderId="1" xfId="0" applyFont="1" applyBorder="1" applyAlignment="1">
      <alignment horizontal="center" vertical="center" wrapText="1"/>
    </xf>
    <xf numFmtId="167" fontId="1" fillId="0" borderId="6" xfId="2" applyNumberFormat="1" applyFont="1" applyBorder="1"/>
    <xf numFmtId="167" fontId="1" fillId="0" borderId="4" xfId="2" applyNumberFormat="1" applyFont="1" applyBorder="1"/>
    <xf numFmtId="167" fontId="1" fillId="0" borderId="5" xfId="2" applyNumberFormat="1" applyFont="1" applyBorder="1"/>
    <xf numFmtId="166" fontId="0" fillId="0" borderId="6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164" fontId="0" fillId="0" borderId="0" xfId="1" applyFont="1"/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5" fontId="0" fillId="0" borderId="0" xfId="1" applyNumberFormat="1" applyFont="1"/>
    <xf numFmtId="4" fontId="10" fillId="0" borderId="0" xfId="0" applyNumberFormat="1" applyFont="1"/>
    <xf numFmtId="165" fontId="4" fillId="4" borderId="16" xfId="1" applyNumberFormat="1" applyFont="1" applyFill="1" applyBorder="1" applyAlignment="1">
      <alignment horizontal="left" indent="1"/>
    </xf>
    <xf numFmtId="165" fontId="5" fillId="0" borderId="16" xfId="1" applyNumberFormat="1" applyFont="1" applyFill="1" applyBorder="1" applyAlignment="1">
      <alignment horizontal="left" indent="1"/>
    </xf>
    <xf numFmtId="0" fontId="5" fillId="0" borderId="17" xfId="0" applyFont="1" applyBorder="1" applyAlignment="1">
      <alignment horizontal="left" indent="1"/>
    </xf>
    <xf numFmtId="164" fontId="5" fillId="0" borderId="18" xfId="1" applyFont="1" applyFill="1" applyBorder="1" applyAlignment="1">
      <alignment horizontal="left" indent="1"/>
    </xf>
    <xf numFmtId="0" fontId="4" fillId="4" borderId="17" xfId="4" applyBorder="1" applyAlignment="1">
      <alignment horizontal="left" indent="1"/>
    </xf>
    <xf numFmtId="0" fontId="4" fillId="4" borderId="19" xfId="4" applyBorder="1" applyAlignment="1">
      <alignment horizontal="left" indent="1"/>
    </xf>
    <xf numFmtId="165" fontId="4" fillId="4" borderId="20" xfId="1" applyNumberFormat="1" applyFont="1" applyFill="1" applyBorder="1" applyAlignment="1">
      <alignment horizontal="left" indent="1"/>
    </xf>
    <xf numFmtId="165" fontId="8" fillId="3" borderId="12" xfId="3" applyNumberFormat="1" applyFont="1" applyBorder="1"/>
    <xf numFmtId="2" fontId="8" fillId="3" borderId="12" xfId="3" applyNumberFormat="1" applyFont="1" applyBorder="1"/>
    <xf numFmtId="169" fontId="8" fillId="3" borderId="12" xfId="3" applyNumberFormat="1" applyFont="1" applyBorder="1"/>
    <xf numFmtId="165" fontId="4" fillId="4" borderId="16" xfId="4" applyNumberFormat="1" applyBorder="1"/>
    <xf numFmtId="165" fontId="4" fillId="4" borderId="16" xfId="1" applyNumberFormat="1" applyFont="1" applyFill="1" applyBorder="1"/>
    <xf numFmtId="0" fontId="4" fillId="4" borderId="16" xfId="4" applyBorder="1"/>
    <xf numFmtId="2" fontId="4" fillId="4" borderId="16" xfId="4" applyNumberFormat="1" applyBorder="1"/>
    <xf numFmtId="169" fontId="4" fillId="4" borderId="16" xfId="4" applyNumberFormat="1" applyBorder="1"/>
    <xf numFmtId="165" fontId="4" fillId="4" borderId="16" xfId="1" applyNumberFormat="1" applyFont="1" applyFill="1" applyBorder="1" applyAlignment="1">
      <alignment horizontal="right" vertical="center"/>
    </xf>
    <xf numFmtId="165" fontId="6" fillId="0" borderId="16" xfId="1" applyNumberFormat="1" applyFont="1" applyFill="1" applyBorder="1"/>
    <xf numFmtId="165" fontId="5" fillId="0" borderId="16" xfId="1" applyNumberFormat="1" applyFont="1" applyFill="1" applyBorder="1"/>
    <xf numFmtId="0" fontId="6" fillId="0" borderId="16" xfId="0" applyFont="1" applyBorder="1"/>
    <xf numFmtId="164" fontId="6" fillId="0" borderId="16" xfId="0" applyNumberFormat="1" applyFont="1" applyBorder="1"/>
    <xf numFmtId="169" fontId="6" fillId="0" borderId="16" xfId="0" applyNumberFormat="1" applyFont="1" applyBorder="1"/>
    <xf numFmtId="165" fontId="6" fillId="0" borderId="16" xfId="1" applyNumberFormat="1" applyFont="1" applyFill="1" applyBorder="1" applyAlignment="1">
      <alignment horizontal="right" vertical="center"/>
    </xf>
    <xf numFmtId="165" fontId="4" fillId="4" borderId="18" xfId="1" applyNumberFormat="1" applyFont="1" applyFill="1" applyBorder="1" applyAlignment="1">
      <alignment horizontal="right" vertical="center"/>
    </xf>
    <xf numFmtId="165" fontId="6" fillId="0" borderId="18" xfId="1" applyNumberFormat="1" applyFont="1" applyFill="1" applyBorder="1" applyAlignment="1">
      <alignment horizontal="right" vertical="center"/>
    </xf>
    <xf numFmtId="165" fontId="4" fillId="4" borderId="20" xfId="1" applyNumberFormat="1" applyFont="1" applyFill="1" applyBorder="1"/>
    <xf numFmtId="2" fontId="4" fillId="4" borderId="20" xfId="4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66" fontId="2" fillId="2" borderId="25" xfId="1" applyNumberFormat="1" applyFont="1" applyFill="1" applyBorder="1" applyAlignment="1">
      <alignment horizontal="center" vertical="center"/>
    </xf>
    <xf numFmtId="3" fontId="2" fillId="2" borderId="26" xfId="0" applyNumberFormat="1" applyFont="1" applyFill="1" applyBorder="1" applyAlignment="1">
      <alignment horizontal="center" vertical="center"/>
    </xf>
    <xf numFmtId="166" fontId="2" fillId="2" borderId="26" xfId="1" applyNumberFormat="1" applyFont="1" applyFill="1" applyBorder="1" applyAlignment="1">
      <alignment horizontal="center" vertical="center"/>
    </xf>
    <xf numFmtId="166" fontId="7" fillId="2" borderId="26" xfId="1" applyNumberFormat="1" applyFont="1" applyFill="1" applyBorder="1" applyAlignment="1">
      <alignment horizontal="center" vertical="center"/>
    </xf>
    <xf numFmtId="166" fontId="9" fillId="2" borderId="27" xfId="1" applyNumberFormat="1" applyFont="1" applyFill="1" applyBorder="1" applyAlignment="1">
      <alignment horizontal="center" vertical="center"/>
    </xf>
    <xf numFmtId="0" fontId="4" fillId="4" borderId="22" xfId="4" applyBorder="1" applyAlignment="1">
      <alignment horizontal="left" indent="1"/>
    </xf>
    <xf numFmtId="165" fontId="4" fillId="4" borderId="23" xfId="1" applyNumberFormat="1" applyFont="1" applyFill="1" applyBorder="1" applyAlignment="1">
      <alignment horizontal="left" indent="1"/>
    </xf>
    <xf numFmtId="164" fontId="4" fillId="4" borderId="24" xfId="1" applyFont="1" applyFill="1" applyBorder="1" applyAlignment="1">
      <alignment horizontal="left" indent="1"/>
    </xf>
    <xf numFmtId="164" fontId="4" fillId="4" borderId="16" xfId="1" applyFont="1" applyFill="1" applyBorder="1"/>
    <xf numFmtId="164" fontId="5" fillId="0" borderId="16" xfId="1" applyFont="1" applyFill="1" applyBorder="1"/>
    <xf numFmtId="0" fontId="10" fillId="0" borderId="0" xfId="0" applyFont="1"/>
    <xf numFmtId="0" fontId="2" fillId="0" borderId="0" xfId="0" applyFont="1"/>
    <xf numFmtId="0" fontId="12" fillId="5" borderId="10" xfId="5" applyFont="1" applyAlignment="1">
      <alignment horizontal="center" vertical="center" wrapText="1"/>
    </xf>
    <xf numFmtId="165" fontId="13" fillId="5" borderId="10" xfId="1" applyNumberFormat="1" applyFont="1" applyFill="1" applyBorder="1" applyAlignment="1">
      <alignment vertical="center"/>
    </xf>
    <xf numFmtId="0" fontId="12" fillId="5" borderId="10" xfId="5" applyFont="1" applyAlignment="1">
      <alignment horizontal="center" vertical="center"/>
    </xf>
    <xf numFmtId="0" fontId="13" fillId="3" borderId="8" xfId="3" applyFont="1" applyAlignment="1">
      <alignment horizontal="center"/>
    </xf>
    <xf numFmtId="165" fontId="13" fillId="3" borderId="8" xfId="3" applyNumberFormat="1" applyFont="1" applyAlignment="1">
      <alignment horizontal="center"/>
    </xf>
    <xf numFmtId="0" fontId="13" fillId="3" borderId="8" xfId="3" applyFont="1" applyAlignment="1">
      <alignment horizontal="center" vertical="center" wrapText="1"/>
    </xf>
    <xf numFmtId="0" fontId="0" fillId="0" borderId="0" xfId="0" applyAlignment="1">
      <alignment horizontal="left" indent="1"/>
    </xf>
    <xf numFmtId="0" fontId="4" fillId="4" borderId="8" xfId="4" applyAlignment="1">
      <alignment horizontal="left" indent="1"/>
    </xf>
    <xf numFmtId="0" fontId="0" fillId="0" borderId="0" xfId="0" applyAlignment="1">
      <alignment horizontal="right" indent="1"/>
    </xf>
    <xf numFmtId="3" fontId="0" fillId="0" borderId="0" xfId="0" applyNumberFormat="1" applyAlignment="1">
      <alignment horizontal="right" indent="1"/>
    </xf>
    <xf numFmtId="3" fontId="4" fillId="4" borderId="28" xfId="4" applyNumberFormat="1" applyBorder="1" applyAlignment="1">
      <alignment horizontal="right" indent="1"/>
    </xf>
    <xf numFmtId="3" fontId="0" fillId="0" borderId="0" xfId="0" applyNumberFormat="1" applyBorder="1" applyAlignment="1">
      <alignment horizontal="right" indent="1"/>
    </xf>
    <xf numFmtId="1" fontId="0" fillId="0" borderId="0" xfId="0" applyNumberFormat="1" applyAlignment="1">
      <alignment horizontal="right" indent="1"/>
    </xf>
    <xf numFmtId="1" fontId="4" fillId="4" borderId="8" xfId="4" applyNumberFormat="1" applyAlignment="1">
      <alignment horizontal="right" indent="1"/>
    </xf>
    <xf numFmtId="171" fontId="4" fillId="4" borderId="16" xfId="1" applyNumberFormat="1" applyFont="1" applyFill="1" applyBorder="1"/>
    <xf numFmtId="171" fontId="5" fillId="0" borderId="16" xfId="1" applyNumberFormat="1" applyFont="1" applyFill="1" applyBorder="1"/>
    <xf numFmtId="171" fontId="13" fillId="3" borderId="8" xfId="3" applyNumberFormat="1" applyFont="1" applyAlignment="1">
      <alignment horizontal="center"/>
    </xf>
    <xf numFmtId="0" fontId="13" fillId="3" borderId="21" xfId="3" applyFont="1" applyBorder="1"/>
    <xf numFmtId="0" fontId="13" fillId="3" borderId="9" xfId="3" applyFont="1" applyBorder="1"/>
    <xf numFmtId="0" fontId="4" fillId="4" borderId="16" xfId="4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8" fillId="3" borderId="12" xfId="3" applyFont="1" applyBorder="1" applyAlignment="1">
      <alignment horizontal="center"/>
    </xf>
    <xf numFmtId="166" fontId="2" fillId="2" borderId="26" xfId="1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168" fontId="2" fillId="0" borderId="0" xfId="0" applyNumberFormat="1" applyFont="1"/>
    <xf numFmtId="44" fontId="2" fillId="0" borderId="0" xfId="2" applyFont="1"/>
    <xf numFmtId="0" fontId="11" fillId="2" borderId="0" xfId="0" applyFont="1" applyFill="1"/>
    <xf numFmtId="167" fontId="14" fillId="2" borderId="0" xfId="2" applyNumberFormat="1" applyFont="1" applyFill="1"/>
    <xf numFmtId="0" fontId="14" fillId="2" borderId="0" xfId="0" applyFont="1" applyFill="1" applyAlignment="1">
      <alignment horizontal="right"/>
    </xf>
    <xf numFmtId="168" fontId="14" fillId="2" borderId="0" xfId="0" applyNumberFormat="1" applyFont="1" applyFill="1"/>
    <xf numFmtId="0" fontId="14" fillId="2" borderId="0" xfId="0" applyFont="1" applyFill="1"/>
    <xf numFmtId="172" fontId="14" fillId="2" borderId="0" xfId="0" applyNumberFormat="1" applyFont="1" applyFill="1"/>
    <xf numFmtId="165" fontId="13" fillId="3" borderId="8" xfId="1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7" fontId="0" fillId="0" borderId="0" xfId="0" applyNumberFormat="1"/>
    <xf numFmtId="165" fontId="2" fillId="6" borderId="0" xfId="0" applyNumberFormat="1" applyFont="1" applyFill="1"/>
    <xf numFmtId="165" fontId="15" fillId="6" borderId="29" xfId="1" applyNumberFormat="1" applyFont="1" applyFill="1" applyBorder="1"/>
    <xf numFmtId="171" fontId="15" fillId="6" borderId="29" xfId="1" applyNumberFormat="1" applyFont="1" applyFill="1" applyBorder="1"/>
    <xf numFmtId="175" fontId="4" fillId="4" borderId="24" xfId="2" applyNumberFormat="1" applyFont="1" applyFill="1" applyBorder="1" applyAlignment="1">
      <alignment horizontal="right" indent="1"/>
    </xf>
    <xf numFmtId="175" fontId="0" fillId="0" borderId="0" xfId="2" applyNumberFormat="1" applyFont="1" applyAlignment="1">
      <alignment horizontal="right" indent="1"/>
    </xf>
    <xf numFmtId="175" fontId="8" fillId="3" borderId="12" xfId="3" applyNumberFormat="1" applyFont="1" applyBorder="1" applyAlignment="1">
      <alignment horizontal="right" indent="1"/>
    </xf>
    <xf numFmtId="0" fontId="2" fillId="7" borderId="1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175" fontId="2" fillId="7" borderId="11" xfId="2" applyNumberFormat="1" applyFont="1" applyFill="1" applyBorder="1" applyAlignment="1">
      <alignment horizontal="center"/>
    </xf>
    <xf numFmtId="175" fontId="2" fillId="7" borderId="32" xfId="2" applyNumberFormat="1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75" fontId="2" fillId="0" borderId="11" xfId="2" applyNumberFormat="1" applyFont="1" applyBorder="1" applyAlignment="1">
      <alignment horizontal="center"/>
    </xf>
    <xf numFmtId="175" fontId="2" fillId="0" borderId="32" xfId="2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0" xfId="0" applyFont="1" applyAlignment="1">
      <alignment horizontal="right" indent="1"/>
    </xf>
    <xf numFmtId="10" fontId="0" fillId="0" borderId="0" xfId="6" applyNumberFormat="1" applyFont="1"/>
    <xf numFmtId="10" fontId="0" fillId="0" borderId="0" xfId="6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166" fontId="2" fillId="0" borderId="0" xfId="1" applyNumberFormat="1" applyFont="1" applyAlignment="1"/>
    <xf numFmtId="164" fontId="15" fillId="6" borderId="29" xfId="1" applyNumberFormat="1" applyFont="1" applyFill="1" applyBorder="1"/>
    <xf numFmtId="175" fontId="2" fillId="8" borderId="33" xfId="0" applyNumberFormat="1" applyFont="1" applyFill="1" applyBorder="1" applyAlignment="1">
      <alignment horizontal="center"/>
    </xf>
    <xf numFmtId="175" fontId="2" fillId="8" borderId="34" xfId="0" applyNumberFormat="1" applyFont="1" applyFill="1" applyBorder="1" applyAlignment="1">
      <alignment horizontal="center"/>
    </xf>
    <xf numFmtId="10" fontId="2" fillId="8" borderId="0" xfId="6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75" fontId="2" fillId="8" borderId="0" xfId="0" applyNumberFormat="1" applyFont="1" applyFill="1"/>
    <xf numFmtId="181" fontId="0" fillId="0" borderId="0" xfId="2" applyNumberFormat="1" applyFont="1"/>
    <xf numFmtId="44" fontId="0" fillId="0" borderId="0" xfId="2" applyNumberFormat="1" applyFont="1"/>
    <xf numFmtId="44" fontId="2" fillId="8" borderId="0" xfId="2" applyFont="1" applyFill="1"/>
    <xf numFmtId="0" fontId="2" fillId="8" borderId="0" xfId="0" applyFont="1" applyFill="1"/>
    <xf numFmtId="10" fontId="2" fillId="7" borderId="11" xfId="6" applyNumberFormat="1" applyFont="1" applyFill="1" applyBorder="1" applyAlignment="1">
      <alignment horizontal="center"/>
    </xf>
    <xf numFmtId="10" fontId="2" fillId="7" borderId="32" xfId="6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2" applyNumberFormat="1" applyFont="1" applyAlignment="1">
      <alignment horizontal="left" indent="1"/>
    </xf>
    <xf numFmtId="167" fontId="2" fillId="0" borderId="0" xfId="0" applyNumberFormat="1" applyFont="1" applyAlignment="1">
      <alignment horizontal="left" indent="1"/>
    </xf>
    <xf numFmtId="183" fontId="2" fillId="0" borderId="0" xfId="6" applyNumberFormat="1" applyFont="1"/>
    <xf numFmtId="181" fontId="2" fillId="0" borderId="0" xfId="2" applyNumberFormat="1" applyFont="1"/>
    <xf numFmtId="10" fontId="2" fillId="0" borderId="0" xfId="6" applyNumberFormat="1" applyFont="1"/>
    <xf numFmtId="10" fontId="17" fillId="0" borderId="0" xfId="6" applyNumberFormat="1" applyFont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167" fontId="0" fillId="0" borderId="6" xfId="2" applyNumberFormat="1" applyFont="1" applyFill="1" applyBorder="1" applyAlignment="1">
      <alignment horizontal="center"/>
    </xf>
    <xf numFmtId="167" fontId="0" fillId="0" borderId="6" xfId="2" applyNumberFormat="1" applyFont="1" applyFill="1" applyBorder="1"/>
    <xf numFmtId="167" fontId="0" fillId="0" borderId="4" xfId="2" applyNumberFormat="1" applyFont="1" applyFill="1" applyBorder="1" applyAlignment="1">
      <alignment horizontal="center"/>
    </xf>
    <xf numFmtId="167" fontId="0" fillId="0" borderId="4" xfId="2" applyNumberFormat="1" applyFont="1" applyFill="1" applyBorder="1"/>
    <xf numFmtId="167" fontId="0" fillId="0" borderId="5" xfId="2" applyNumberFormat="1" applyFont="1" applyFill="1" applyBorder="1" applyAlignment="1">
      <alignment horizontal="center"/>
    </xf>
    <xf numFmtId="167" fontId="0" fillId="0" borderId="5" xfId="2" applyNumberFormat="1" applyFont="1" applyFill="1" applyBorder="1"/>
    <xf numFmtId="165" fontId="0" fillId="0" borderId="6" xfId="1" applyNumberFormat="1" applyFont="1" applyFill="1" applyBorder="1"/>
    <xf numFmtId="165" fontId="0" fillId="0" borderId="4" xfId="1" applyNumberFormat="1" applyFont="1" applyFill="1" applyBorder="1"/>
    <xf numFmtId="165" fontId="0" fillId="0" borderId="5" xfId="1" applyNumberFormat="1" applyFont="1" applyFill="1" applyBorder="1"/>
  </cellXfs>
  <cellStyles count="7">
    <cellStyle name="Cálculo" xfId="4" builtinId="22"/>
    <cellStyle name="Entrada" xfId="3" builtinId="20"/>
    <cellStyle name="Millares" xfId="1" builtinId="3"/>
    <cellStyle name="Moneda" xfId="2" builtinId="4"/>
    <cellStyle name="Normal" xfId="0" builtinId="0"/>
    <cellStyle name="Notas" xfId="5" builtinId="10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"/>
  <sheetViews>
    <sheetView workbookViewId="0">
      <selection activeCell="B2" sqref="B2"/>
    </sheetView>
  </sheetViews>
  <sheetFormatPr baseColWidth="10" defaultRowHeight="15" x14ac:dyDescent="0.25"/>
  <cols>
    <col min="2" max="2" width="15.28515625" style="2" customWidth="1"/>
    <col min="3" max="14" width="15.140625" style="1" bestFit="1" customWidth="1"/>
    <col min="15" max="16" width="16.28515625" bestFit="1" customWidth="1"/>
    <col min="17" max="17" width="14.140625" bestFit="1" customWidth="1"/>
  </cols>
  <sheetData>
    <row r="1" spans="2:17" ht="15.75" thickBot="1" x14ac:dyDescent="0.3"/>
    <row r="2" spans="2:17" ht="30.75" thickBot="1" x14ac:dyDescent="0.3">
      <c r="B2" s="8" t="s">
        <v>24</v>
      </c>
      <c r="C2" s="7" t="s">
        <v>4</v>
      </c>
      <c r="D2" s="8" t="s">
        <v>5</v>
      </c>
      <c r="E2" s="7" t="s">
        <v>6</v>
      </c>
      <c r="F2" s="8" t="s">
        <v>7</v>
      </c>
      <c r="G2" s="7" t="s">
        <v>8</v>
      </c>
      <c r="H2" s="8" t="s">
        <v>9</v>
      </c>
      <c r="I2" s="7" t="s">
        <v>10</v>
      </c>
      <c r="J2" s="8" t="s">
        <v>11</v>
      </c>
      <c r="K2" s="7" t="s">
        <v>12</v>
      </c>
      <c r="L2" s="8" t="s">
        <v>13</v>
      </c>
      <c r="M2" s="7" t="s">
        <v>14</v>
      </c>
      <c r="N2" s="168" t="s">
        <v>15</v>
      </c>
      <c r="O2" s="169" t="s">
        <v>16</v>
      </c>
      <c r="P2" s="9" t="s">
        <v>19</v>
      </c>
      <c r="Q2" s="9" t="s">
        <v>20</v>
      </c>
    </row>
    <row r="3" spans="2:17" x14ac:dyDescent="0.25">
      <c r="B3" s="33" t="s">
        <v>2</v>
      </c>
      <c r="C3" s="19">
        <v>26489187.699999999</v>
      </c>
      <c r="D3" s="20">
        <v>26969363.239999998</v>
      </c>
      <c r="E3" s="19">
        <v>26352176.920000002</v>
      </c>
      <c r="F3" s="20">
        <v>27363744.100000001</v>
      </c>
      <c r="G3" s="19">
        <v>27621596.140000001</v>
      </c>
      <c r="H3" s="20">
        <v>29255271.050000001</v>
      </c>
      <c r="I3" s="19">
        <v>31537326.91</v>
      </c>
      <c r="J3" s="20">
        <v>33000332.559999999</v>
      </c>
      <c r="K3" s="19">
        <v>32742152.440000001</v>
      </c>
      <c r="L3" s="20">
        <v>31609992.969999999</v>
      </c>
      <c r="M3" s="19">
        <v>31763279</v>
      </c>
      <c r="N3" s="170">
        <f>O3/11</f>
        <v>29518583.911818184</v>
      </c>
      <c r="O3" s="171">
        <f>SUM(C3:M3)</f>
        <v>324704423.03000003</v>
      </c>
      <c r="P3" s="21">
        <f>SUM(C3:N3)</f>
        <v>354223006.94181824</v>
      </c>
      <c r="Q3" s="22">
        <f>P3/365</f>
        <v>970473.99162141979</v>
      </c>
    </row>
    <row r="4" spans="2:17" x14ac:dyDescent="0.25">
      <c r="B4" s="33" t="s">
        <v>0</v>
      </c>
      <c r="C4" s="19">
        <v>24809541.809999999</v>
      </c>
      <c r="D4" s="20">
        <v>25615587.52</v>
      </c>
      <c r="E4" s="19">
        <v>24230756.350000001</v>
      </c>
      <c r="F4" s="20">
        <v>25717745.909999996</v>
      </c>
      <c r="G4" s="19">
        <v>24958049.289999992</v>
      </c>
      <c r="H4" s="20">
        <v>25477156.539999992</v>
      </c>
      <c r="I4" s="19">
        <v>26513493.090000004</v>
      </c>
      <c r="J4" s="20">
        <v>25772433.100000001</v>
      </c>
      <c r="K4" s="19">
        <v>26127974.859999999</v>
      </c>
      <c r="L4" s="20">
        <v>25905654.52</v>
      </c>
      <c r="M4" s="19">
        <v>26792374.949999999</v>
      </c>
      <c r="N4" s="172">
        <f>O4/11</f>
        <v>25629160.721818183</v>
      </c>
      <c r="O4" s="173">
        <f>SUM(C4:M4)</f>
        <v>281920767.94</v>
      </c>
      <c r="P4" s="23">
        <f>SUM(C4:N4)</f>
        <v>307549928.66181821</v>
      </c>
      <c r="Q4" s="24">
        <f>P4/365</f>
        <v>842602.54427895404</v>
      </c>
    </row>
    <row r="5" spans="2:17" x14ac:dyDescent="0.25">
      <c r="B5" s="33" t="s">
        <v>1</v>
      </c>
      <c r="C5" s="19">
        <v>6551700.9500000002</v>
      </c>
      <c r="D5" s="20">
        <v>6051456.2000000002</v>
      </c>
      <c r="E5" s="19">
        <v>6531215.9400000004</v>
      </c>
      <c r="F5" s="20">
        <v>6445407.4100000001</v>
      </c>
      <c r="G5" s="19">
        <v>6742474.2699999996</v>
      </c>
      <c r="H5" s="20">
        <v>6012978.04</v>
      </c>
      <c r="I5" s="19">
        <v>5951805.9000000004</v>
      </c>
      <c r="J5" s="20">
        <v>5475621.7199999997</v>
      </c>
      <c r="K5" s="19">
        <v>6437384.9800000004</v>
      </c>
      <c r="L5" s="20">
        <v>6282298.3200000003</v>
      </c>
      <c r="M5" s="19">
        <v>8864585.790000001</v>
      </c>
      <c r="N5" s="172">
        <f>O5/11</f>
        <v>6486084.501818181</v>
      </c>
      <c r="O5" s="173">
        <f>SUM(C5:M5)</f>
        <v>71346929.519999996</v>
      </c>
      <c r="P5" s="23">
        <f>SUM(C5:N5)</f>
        <v>77833014.021818176</v>
      </c>
      <c r="Q5" s="24">
        <f>P5/365</f>
        <v>213241.13430635116</v>
      </c>
    </row>
    <row r="6" spans="2:17" ht="15.75" thickBot="1" x14ac:dyDescent="0.3">
      <c r="B6" s="34" t="s">
        <v>3</v>
      </c>
      <c r="C6" s="25">
        <v>3870367.74</v>
      </c>
      <c r="D6" s="26">
        <v>4048721.3</v>
      </c>
      <c r="E6" s="25">
        <v>4279979.93</v>
      </c>
      <c r="F6" s="26">
        <v>4447310.2300000004</v>
      </c>
      <c r="G6" s="25">
        <v>4445395.8</v>
      </c>
      <c r="H6" s="26">
        <v>4628376.5</v>
      </c>
      <c r="I6" s="25">
        <v>4879527.5199999996</v>
      </c>
      <c r="J6" s="26">
        <v>4806606.42</v>
      </c>
      <c r="K6" s="25">
        <v>4502525.84</v>
      </c>
      <c r="L6" s="26">
        <v>4628870.17</v>
      </c>
      <c r="M6" s="25">
        <v>4156529.43</v>
      </c>
      <c r="N6" s="174">
        <f t="shared" ref="N6" si="0">O6/11</f>
        <v>4426746.4436363643</v>
      </c>
      <c r="O6" s="175">
        <f t="shared" ref="O6" si="1">SUM(C6:M6)</f>
        <v>48694210.880000003</v>
      </c>
      <c r="P6" s="23">
        <f t="shared" ref="P6" si="2">SUM(C6:N6)</f>
        <v>53120957.323636368</v>
      </c>
      <c r="Q6" s="27">
        <f t="shared" ref="Q6" si="3">P6/365</f>
        <v>145536.86937982566</v>
      </c>
    </row>
    <row r="7" spans="2:17" ht="15.75" thickBot="1" x14ac:dyDescent="0.3">
      <c r="P7" s="30">
        <f ca="1">SUM(P4:P8)</f>
        <v>468689513.48727274</v>
      </c>
      <c r="Q7" s="31">
        <f ca="1">SUM(Q4:Q8)</f>
        <v>1284080.8588692404</v>
      </c>
    </row>
    <row r="8" spans="2:17" x14ac:dyDescent="0.25">
      <c r="B8" s="18" t="s">
        <v>21</v>
      </c>
    </row>
    <row r="10" spans="2:17" x14ac:dyDescent="0.25"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8"/>
  <sheetViews>
    <sheetView zoomScale="130" zoomScaleNormal="130" workbookViewId="0">
      <selection activeCell="B2" sqref="B2"/>
    </sheetView>
  </sheetViews>
  <sheetFormatPr baseColWidth="10" defaultRowHeight="15" x14ac:dyDescent="0.25"/>
  <cols>
    <col min="2" max="2" width="15.5703125" style="2" customWidth="1"/>
    <col min="3" max="14" width="14.140625" bestFit="1" customWidth="1"/>
    <col min="15" max="15" width="15.140625" bestFit="1" customWidth="1"/>
    <col min="16" max="16" width="13.42578125" bestFit="1" customWidth="1"/>
    <col min="18" max="18" width="12.5703125" bestFit="1" customWidth="1"/>
    <col min="19" max="19" width="17" bestFit="1" customWidth="1"/>
  </cols>
  <sheetData>
    <row r="1" spans="2:23" ht="15.75" thickBot="1" x14ac:dyDescent="0.3"/>
    <row r="2" spans="2:23" ht="30.75" thickBot="1" x14ac:dyDescent="0.3">
      <c r="B2" s="8" t="s">
        <v>24</v>
      </c>
      <c r="C2" s="7" t="s">
        <v>4</v>
      </c>
      <c r="D2" s="8" t="s">
        <v>5</v>
      </c>
      <c r="E2" s="7" t="s">
        <v>6</v>
      </c>
      <c r="F2" s="8" t="s">
        <v>7</v>
      </c>
      <c r="G2" s="7" t="s">
        <v>8</v>
      </c>
      <c r="H2" s="8" t="s">
        <v>9</v>
      </c>
      <c r="I2" s="7" t="s">
        <v>10</v>
      </c>
      <c r="J2" s="8" t="s">
        <v>11</v>
      </c>
      <c r="K2" s="7" t="s">
        <v>12</v>
      </c>
      <c r="L2" s="8" t="s">
        <v>13</v>
      </c>
      <c r="M2" s="7" t="s">
        <v>14</v>
      </c>
      <c r="N2" s="8" t="s">
        <v>15</v>
      </c>
      <c r="O2" s="9" t="s">
        <v>16</v>
      </c>
      <c r="P2" s="8" t="s">
        <v>17</v>
      </c>
      <c r="Q2" s="8" t="s">
        <v>18</v>
      </c>
    </row>
    <row r="3" spans="2:23" x14ac:dyDescent="0.25">
      <c r="B3" s="33" t="s">
        <v>2</v>
      </c>
      <c r="C3" s="3">
        <v>10571388</v>
      </c>
      <c r="D3" s="4">
        <v>9794125</v>
      </c>
      <c r="E3" s="3">
        <v>10931212</v>
      </c>
      <c r="F3" s="4">
        <v>10822283</v>
      </c>
      <c r="G3" s="3">
        <v>11599977</v>
      </c>
      <c r="H3" s="4">
        <v>12205384</v>
      </c>
      <c r="I3" s="3">
        <v>12843614</v>
      </c>
      <c r="J3" s="4">
        <v>12917630</v>
      </c>
      <c r="K3" s="3">
        <v>12105818</v>
      </c>
      <c r="L3" s="4">
        <v>12161097</v>
      </c>
      <c r="M3" s="3">
        <v>11248300</v>
      </c>
      <c r="N3" s="176">
        <f>O3/11</f>
        <v>11563711.636363637</v>
      </c>
      <c r="O3" s="10">
        <f>SUM(C3:M3)</f>
        <v>127200828</v>
      </c>
      <c r="P3" s="10">
        <f>SUM(C3:N3)</f>
        <v>138764539.63636363</v>
      </c>
      <c r="Q3" s="15">
        <f>P3/365</f>
        <v>380176.82092154416</v>
      </c>
      <c r="S3" s="29">
        <v>354223006.94181824</v>
      </c>
      <c r="T3" s="155">
        <f>S3/P3</f>
        <v>2.5526911116490538</v>
      </c>
      <c r="U3" s="156">
        <v>2</v>
      </c>
      <c r="V3">
        <f>U3/T3</f>
        <v>0.78348688208813011</v>
      </c>
      <c r="W3" s="144">
        <f>1-V3</f>
        <v>0.21651311791186989</v>
      </c>
    </row>
    <row r="4" spans="2:23" x14ac:dyDescent="0.25">
      <c r="B4" s="33" t="s">
        <v>0</v>
      </c>
      <c r="C4" s="3">
        <v>10979385</v>
      </c>
      <c r="D4" s="4">
        <v>10100773</v>
      </c>
      <c r="E4" s="3">
        <v>11182998.678571427</v>
      </c>
      <c r="F4" s="4">
        <v>10643383</v>
      </c>
      <c r="G4" s="3">
        <v>10920416</v>
      </c>
      <c r="H4" s="4">
        <v>10651681</v>
      </c>
      <c r="I4" s="3">
        <v>11056431</v>
      </c>
      <c r="J4" s="4">
        <v>10848896</v>
      </c>
      <c r="K4" s="3">
        <v>10677179</v>
      </c>
      <c r="L4" s="4">
        <v>11190006</v>
      </c>
      <c r="M4" s="3">
        <v>11190006</v>
      </c>
      <c r="N4" s="177">
        <f>O4/11</f>
        <v>10858286.78896104</v>
      </c>
      <c r="O4" s="11">
        <f>SUM(C4:M4)</f>
        <v>119441154.67857143</v>
      </c>
      <c r="P4" s="11">
        <f>SUM(C4:N4)</f>
        <v>130299441.46753247</v>
      </c>
      <c r="Q4" s="16">
        <f>P4/365</f>
        <v>356984.77114392456</v>
      </c>
      <c r="S4" s="29">
        <v>307549928.66181821</v>
      </c>
      <c r="T4" s="155">
        <f t="shared" ref="T4:T6" si="0">S4/P4</f>
        <v>2.3603319031759038</v>
      </c>
      <c r="U4" s="156">
        <v>2</v>
      </c>
      <c r="V4">
        <f t="shared" ref="V4:V6" si="1">U4/T4</f>
        <v>0.84733846003137714</v>
      </c>
      <c r="W4" s="144">
        <f t="shared" ref="W4:W6" si="2">1-V4</f>
        <v>0.15266153996862286</v>
      </c>
    </row>
    <row r="5" spans="2:23" x14ac:dyDescent="0.25">
      <c r="B5" s="33" t="s">
        <v>1</v>
      </c>
      <c r="C5" s="3">
        <v>2646482</v>
      </c>
      <c r="D5" s="4">
        <v>2580916</v>
      </c>
      <c r="E5" s="3">
        <v>2733866</v>
      </c>
      <c r="F5" s="4">
        <v>2563557</v>
      </c>
      <c r="G5" s="3">
        <v>2573930</v>
      </c>
      <c r="H5" s="4">
        <v>2300732</v>
      </c>
      <c r="I5" s="3">
        <v>2359713</v>
      </c>
      <c r="J5" s="4">
        <v>2288856</v>
      </c>
      <c r="K5" s="3">
        <v>2183224</v>
      </c>
      <c r="L5" s="4">
        <v>2355729</v>
      </c>
      <c r="M5" s="3">
        <v>2314903</v>
      </c>
      <c r="N5" s="177">
        <f t="shared" ref="N5:N6" si="3">O5/11</f>
        <v>2445628</v>
      </c>
      <c r="O5" s="11">
        <f t="shared" ref="O5:O6" si="4">SUM(C5:M5)</f>
        <v>26901908</v>
      </c>
      <c r="P5" s="11">
        <f t="shared" ref="P5:P6" si="5">SUM(C5:N5)</f>
        <v>29347536</v>
      </c>
      <c r="Q5" s="16">
        <f t="shared" ref="Q5:Q6" si="6">P5/365</f>
        <v>80404.208219178079</v>
      </c>
      <c r="S5" s="29">
        <v>77833014.021818176</v>
      </c>
      <c r="T5" s="155">
        <f t="shared" si="0"/>
        <v>2.6521140998623589</v>
      </c>
      <c r="U5" s="156">
        <v>2</v>
      </c>
      <c r="V5">
        <f t="shared" si="1"/>
        <v>0.75411536785080147</v>
      </c>
      <c r="W5" s="144">
        <f t="shared" si="2"/>
        <v>0.24588463214919853</v>
      </c>
    </row>
    <row r="6" spans="2:23" ht="15.75" thickBot="1" x14ac:dyDescent="0.3">
      <c r="B6" s="34" t="s">
        <v>3</v>
      </c>
      <c r="C6" s="5">
        <v>1629284</v>
      </c>
      <c r="D6" s="6">
        <v>1573183</v>
      </c>
      <c r="E6" s="5">
        <v>1752384</v>
      </c>
      <c r="F6" s="6">
        <v>1694165</v>
      </c>
      <c r="G6" s="5">
        <v>1774848</v>
      </c>
      <c r="H6" s="6">
        <v>1629284</v>
      </c>
      <c r="I6" s="5">
        <v>1814737</v>
      </c>
      <c r="J6" s="6">
        <v>1826767</v>
      </c>
      <c r="K6" s="5">
        <v>1699752</v>
      </c>
      <c r="L6" s="6">
        <v>1828943</v>
      </c>
      <c r="M6" s="5">
        <v>1572803</v>
      </c>
      <c r="N6" s="178">
        <f t="shared" si="3"/>
        <v>1708740.9090909092</v>
      </c>
      <c r="O6" s="12">
        <f t="shared" si="4"/>
        <v>18796150</v>
      </c>
      <c r="P6" s="11">
        <f t="shared" si="5"/>
        <v>20504890.90909091</v>
      </c>
      <c r="Q6" s="17">
        <f t="shared" si="6"/>
        <v>56177.783312577834</v>
      </c>
      <c r="S6" s="29">
        <v>53120957.323636368</v>
      </c>
      <c r="T6" s="155">
        <f t="shared" si="0"/>
        <v>2.5906481316652612</v>
      </c>
      <c r="U6" s="156">
        <v>2</v>
      </c>
      <c r="V6">
        <f t="shared" si="1"/>
        <v>0.77200758202326991</v>
      </c>
      <c r="W6" s="144">
        <f t="shared" si="2"/>
        <v>0.22799241797673009</v>
      </c>
    </row>
    <row r="7" spans="2:23" ht="15.75" thickBot="1" x14ac:dyDescent="0.3">
      <c r="P7" s="13">
        <f>SUM(P4:P6)</f>
        <v>180151868.37662336</v>
      </c>
      <c r="Q7" s="14">
        <f>SUM(Q4:Q6)</f>
        <v>493566.76267568045</v>
      </c>
      <c r="S7" s="29"/>
      <c r="T7" s="155"/>
      <c r="U7" s="156"/>
      <c r="W7" s="144"/>
    </row>
    <row r="8" spans="2:23" x14ac:dyDescent="0.25">
      <c r="B8" s="1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"/>
  <sheetViews>
    <sheetView workbookViewId="0">
      <selection activeCell="B2" sqref="B2"/>
    </sheetView>
  </sheetViews>
  <sheetFormatPr baseColWidth="10" defaultRowHeight="15" x14ac:dyDescent="0.25"/>
  <cols>
    <col min="2" max="2" width="14.28515625" customWidth="1"/>
    <col min="3" max="14" width="14.140625" bestFit="1" customWidth="1"/>
    <col min="15" max="15" width="15.140625" bestFit="1" customWidth="1"/>
    <col min="16" max="16" width="15.42578125" customWidth="1"/>
  </cols>
  <sheetData>
    <row r="1" spans="2:17" ht="15.75" thickBot="1" x14ac:dyDescent="0.3"/>
    <row r="2" spans="2:17" ht="30.75" thickBot="1" x14ac:dyDescent="0.3">
      <c r="B2" s="8" t="s">
        <v>24</v>
      </c>
      <c r="C2" s="7" t="s">
        <v>4</v>
      </c>
      <c r="D2" s="8" t="s">
        <v>5</v>
      </c>
      <c r="E2" s="7" t="s">
        <v>6</v>
      </c>
      <c r="F2" s="8" t="s">
        <v>7</v>
      </c>
      <c r="G2" s="7" t="s">
        <v>8</v>
      </c>
      <c r="H2" s="8" t="s">
        <v>9</v>
      </c>
      <c r="I2" s="7" t="s">
        <v>10</v>
      </c>
      <c r="J2" s="8" t="s">
        <v>11</v>
      </c>
      <c r="K2" s="7" t="s">
        <v>12</v>
      </c>
      <c r="L2" s="8" t="s">
        <v>13</v>
      </c>
      <c r="M2" s="7" t="s">
        <v>14</v>
      </c>
      <c r="N2" s="8" t="s">
        <v>15</v>
      </c>
      <c r="O2" s="9" t="s">
        <v>16</v>
      </c>
      <c r="P2" s="8" t="s">
        <v>25</v>
      </c>
      <c r="Q2" s="8" t="s">
        <v>26</v>
      </c>
    </row>
    <row r="3" spans="2:17" x14ac:dyDescent="0.25">
      <c r="B3" s="33" t="s">
        <v>2</v>
      </c>
      <c r="C3" s="3">
        <v>14099329</v>
      </c>
      <c r="D3" s="4">
        <v>13125177</v>
      </c>
      <c r="E3" s="3">
        <v>14602325</v>
      </c>
      <c r="F3" s="4">
        <v>14479094</v>
      </c>
      <c r="G3" s="3">
        <v>15709949</v>
      </c>
      <c r="H3" s="4">
        <v>16488057</v>
      </c>
      <c r="I3" s="3">
        <v>16934659</v>
      </c>
      <c r="J3" s="4">
        <v>17290828</v>
      </c>
      <c r="K3" s="3">
        <v>15979449</v>
      </c>
      <c r="L3" s="4">
        <v>15805658</v>
      </c>
      <c r="M3" s="3">
        <v>14738845</v>
      </c>
      <c r="N3" s="177">
        <f>O3/11</f>
        <v>15386670</v>
      </c>
      <c r="O3" s="10">
        <f>SUM(C3:M3)</f>
        <v>169253370</v>
      </c>
      <c r="P3" s="10">
        <f>SUM(C3:N3)</f>
        <v>184640040</v>
      </c>
      <c r="Q3" s="15">
        <f>P3/365</f>
        <v>505863.12328767125</v>
      </c>
    </row>
    <row r="4" spans="2:17" x14ac:dyDescent="0.25">
      <c r="B4" s="33" t="s">
        <v>0</v>
      </c>
      <c r="C4" s="3">
        <v>11216914</v>
      </c>
      <c r="D4" s="4">
        <v>10501654</v>
      </c>
      <c r="E4" s="3">
        <v>11327365</v>
      </c>
      <c r="F4" s="4">
        <v>10791655</v>
      </c>
      <c r="G4" s="3">
        <v>11273231</v>
      </c>
      <c r="H4" s="4">
        <v>10826534</v>
      </c>
      <c r="I4" s="3">
        <v>11088642</v>
      </c>
      <c r="J4" s="4">
        <v>11142751</v>
      </c>
      <c r="K4" s="3">
        <v>10577936</v>
      </c>
      <c r="L4" s="4">
        <v>11062295</v>
      </c>
      <c r="M4" s="3">
        <v>10900083</v>
      </c>
      <c r="N4" s="177">
        <f>O4/11</f>
        <v>10973550.909090908</v>
      </c>
      <c r="O4" s="11">
        <f>SUM(C4:M4)</f>
        <v>120709060</v>
      </c>
      <c r="P4" s="11">
        <f>SUM(C4:N4)</f>
        <v>131682610.90909091</v>
      </c>
      <c r="Q4" s="16">
        <f>P4/365</f>
        <v>360774.27646326274</v>
      </c>
    </row>
    <row r="5" spans="2:17" x14ac:dyDescent="0.25">
      <c r="B5" s="33" t="s">
        <v>1</v>
      </c>
      <c r="C5" s="3">
        <v>1706171</v>
      </c>
      <c r="D5" s="4">
        <v>1518447</v>
      </c>
      <c r="E5" s="3">
        <v>1659043</v>
      </c>
      <c r="F5" s="4">
        <v>1649909</v>
      </c>
      <c r="G5" s="3">
        <v>1512798</v>
      </c>
      <c r="H5" s="4">
        <v>1560572</v>
      </c>
      <c r="I5" s="3">
        <v>1397519</v>
      </c>
      <c r="J5" s="4">
        <v>1474041</v>
      </c>
      <c r="K5" s="3">
        <v>1279227</v>
      </c>
      <c r="L5" s="4">
        <v>1488197</v>
      </c>
      <c r="M5" s="3">
        <v>1373808</v>
      </c>
      <c r="N5" s="177">
        <f t="shared" ref="N5:N6" si="0">O5/11</f>
        <v>1510884.7272727273</v>
      </c>
      <c r="O5" s="11">
        <f t="shared" ref="O5:O6" si="1">SUM(C5:M5)</f>
        <v>16619732</v>
      </c>
      <c r="P5" s="11">
        <f>SUM(C5:N5)</f>
        <v>18130616.727272727</v>
      </c>
      <c r="Q5" s="16">
        <f t="shared" ref="Q5:Q6" si="2">P5/365</f>
        <v>49672.922540473221</v>
      </c>
    </row>
    <row r="6" spans="2:17" ht="15.75" thickBot="1" x14ac:dyDescent="0.3">
      <c r="B6" s="34" t="s">
        <v>3</v>
      </c>
      <c r="C6" s="5">
        <v>1026746</v>
      </c>
      <c r="D6" s="6">
        <v>994090</v>
      </c>
      <c r="E6" s="5">
        <v>992741</v>
      </c>
      <c r="F6" s="6">
        <v>944314</v>
      </c>
      <c r="G6" s="5">
        <v>1035071</v>
      </c>
      <c r="H6" s="6">
        <v>938109</v>
      </c>
      <c r="I6" s="5">
        <v>1030266</v>
      </c>
      <c r="J6" s="6">
        <v>1059418</v>
      </c>
      <c r="K6" s="5">
        <v>1036564</v>
      </c>
      <c r="L6" s="6">
        <v>1053621</v>
      </c>
      <c r="M6" s="5">
        <v>1000496</v>
      </c>
      <c r="N6" s="178">
        <f t="shared" si="0"/>
        <v>1010130.5454545454</v>
      </c>
      <c r="O6" s="12">
        <f t="shared" si="1"/>
        <v>11111436</v>
      </c>
      <c r="P6" s="11">
        <f>SUM(C6:N6)</f>
        <v>12121566.545454545</v>
      </c>
      <c r="Q6" s="17">
        <f t="shared" si="2"/>
        <v>33209.771357409714</v>
      </c>
    </row>
    <row r="7" spans="2:17" ht="15.75" thickBot="1" x14ac:dyDescent="0.3">
      <c r="P7" s="13">
        <f>SUM(P4:P6)</f>
        <v>161934794.18181816</v>
      </c>
      <c r="Q7" s="14">
        <f>SUM(Q4:Q6)</f>
        <v>443656.97036114568</v>
      </c>
    </row>
    <row r="8" spans="2:17" x14ac:dyDescent="0.25">
      <c r="B8" s="1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46"/>
  <sheetViews>
    <sheetView topLeftCell="J33" zoomScale="160" zoomScaleNormal="160" workbookViewId="0">
      <selection activeCell="K17" sqref="K17"/>
    </sheetView>
  </sheetViews>
  <sheetFormatPr baseColWidth="10" defaultRowHeight="15" x14ac:dyDescent="0.25"/>
  <cols>
    <col min="2" max="2" width="14.7109375" customWidth="1"/>
    <col min="3" max="3" width="1.7109375" customWidth="1"/>
    <col min="4" max="4" width="13.85546875" bestFit="1" customWidth="1"/>
    <col min="5" max="5" width="11.7109375" bestFit="1" customWidth="1"/>
    <col min="6" max="6" width="1.7109375" customWidth="1"/>
    <col min="7" max="7" width="13.5703125" bestFit="1" customWidth="1"/>
    <col min="9" max="9" width="1.7109375" customWidth="1"/>
    <col min="10" max="10" width="13.5703125" bestFit="1" customWidth="1"/>
    <col min="12" max="12" width="13.42578125" bestFit="1" customWidth="1"/>
    <col min="13" max="13" width="17.42578125" bestFit="1" customWidth="1"/>
    <col min="14" max="14" width="15.28515625" bestFit="1" customWidth="1"/>
    <col min="15" max="15" width="12.5703125" bestFit="1" customWidth="1"/>
    <col min="17" max="17" width="15.7109375" bestFit="1" customWidth="1"/>
    <col min="18" max="18" width="15.42578125" bestFit="1" customWidth="1"/>
    <col min="19" max="19" width="12.85546875" bestFit="1" customWidth="1"/>
    <col min="23" max="23" width="14.7109375" customWidth="1"/>
  </cols>
  <sheetData>
    <row r="1" spans="2:21" ht="15.75" thickBot="1" x14ac:dyDescent="0.3"/>
    <row r="2" spans="2:21" ht="30.75" thickBot="1" x14ac:dyDescent="0.3">
      <c r="B2" s="8" t="s">
        <v>24</v>
      </c>
      <c r="C2" s="32"/>
      <c r="D2" s="35" t="s">
        <v>19</v>
      </c>
      <c r="E2" s="35" t="s">
        <v>20</v>
      </c>
      <c r="G2" s="8" t="s">
        <v>17</v>
      </c>
      <c r="H2" s="8" t="s">
        <v>18</v>
      </c>
      <c r="J2" s="44" t="s">
        <v>25</v>
      </c>
      <c r="K2" s="44" t="s">
        <v>26</v>
      </c>
      <c r="L2" s="8" t="s">
        <v>34</v>
      </c>
      <c r="M2" s="45" t="s">
        <v>36</v>
      </c>
      <c r="N2" s="45" t="s">
        <v>37</v>
      </c>
      <c r="O2" s="43"/>
    </row>
    <row r="3" spans="2:21" x14ac:dyDescent="0.25">
      <c r="B3" s="33" t="s">
        <v>2</v>
      </c>
      <c r="C3" s="33"/>
      <c r="D3" s="21">
        <v>354223006.94181824</v>
      </c>
      <c r="E3" s="36">
        <v>970473.99162141979</v>
      </c>
      <c r="G3" s="10">
        <v>138764539.63636363</v>
      </c>
      <c r="H3" s="39">
        <v>380176.82092154416</v>
      </c>
      <c r="J3" s="10">
        <v>184640040</v>
      </c>
      <c r="K3" s="39">
        <v>505863.12328767125</v>
      </c>
      <c r="L3" s="39">
        <f>G3/365</f>
        <v>380176.82092154416</v>
      </c>
      <c r="M3" s="39">
        <f>(L3/24)*3</f>
        <v>47522.10261519302</v>
      </c>
      <c r="N3" s="39">
        <f>M3/5000</f>
        <v>9.5044205230386041</v>
      </c>
    </row>
    <row r="4" spans="2:21" x14ac:dyDescent="0.25">
      <c r="B4" s="33" t="s">
        <v>0</v>
      </c>
      <c r="C4" s="33"/>
      <c r="D4" s="23">
        <v>307549928.66181821</v>
      </c>
      <c r="E4" s="37">
        <v>842602.54427895404</v>
      </c>
      <c r="G4" s="11">
        <v>130299441.46753247</v>
      </c>
      <c r="H4" s="40">
        <v>356984.77114392456</v>
      </c>
      <c r="J4" s="11">
        <v>131682610.90909091</v>
      </c>
      <c r="K4" s="40">
        <v>360774.27646326274</v>
      </c>
      <c r="L4" s="40">
        <f t="shared" ref="L4:L6" si="0">G4/365</f>
        <v>356984.77114392456</v>
      </c>
      <c r="M4" s="40">
        <f t="shared" ref="M4:M7" si="1">(L4/24)*3</f>
        <v>44623.09639299057</v>
      </c>
      <c r="N4" s="40">
        <f t="shared" ref="N4:N7" si="2">M4/5000</f>
        <v>8.9246192785981133</v>
      </c>
    </row>
    <row r="5" spans="2:21" x14ac:dyDescent="0.25">
      <c r="B5" s="33" t="s">
        <v>1</v>
      </c>
      <c r="C5" s="33"/>
      <c r="D5" s="23">
        <v>77833014.021818176</v>
      </c>
      <c r="E5" s="37">
        <v>213241.13430635116</v>
      </c>
      <c r="G5" s="11">
        <v>29347536</v>
      </c>
      <c r="H5" s="40">
        <v>80404.208219178079</v>
      </c>
      <c r="J5" s="11">
        <v>18130616.727272727</v>
      </c>
      <c r="K5" s="40">
        <v>49672.922540473221</v>
      </c>
      <c r="L5" s="40">
        <f t="shared" si="0"/>
        <v>80404.208219178079</v>
      </c>
      <c r="M5" s="40">
        <f t="shared" si="1"/>
        <v>10050.52602739726</v>
      </c>
      <c r="N5" s="40">
        <f t="shared" si="2"/>
        <v>2.0101052054794519</v>
      </c>
    </row>
    <row r="6" spans="2:21" ht="15.75" thickBot="1" x14ac:dyDescent="0.3">
      <c r="B6" s="34" t="s">
        <v>3</v>
      </c>
      <c r="C6" s="33"/>
      <c r="D6" s="23">
        <v>53120957.323636368</v>
      </c>
      <c r="E6" s="38">
        <v>145536.86937982566</v>
      </c>
      <c r="G6" s="11">
        <v>20504890.90909091</v>
      </c>
      <c r="H6" s="41">
        <v>56177.783312577834</v>
      </c>
      <c r="J6" s="11">
        <v>12121566.545454545</v>
      </c>
      <c r="K6" s="41">
        <v>33209.771357409714</v>
      </c>
      <c r="L6" s="41">
        <f t="shared" si="0"/>
        <v>56177.783312577834</v>
      </c>
      <c r="M6" s="41">
        <f t="shared" si="1"/>
        <v>7022.2229140722293</v>
      </c>
      <c r="N6" s="41">
        <f t="shared" si="2"/>
        <v>1.4044445828144458</v>
      </c>
    </row>
    <row r="7" spans="2:21" ht="15.75" thickBot="1" x14ac:dyDescent="0.3">
      <c r="D7" s="30">
        <f>SUM(D3:D6)</f>
        <v>792726906.94909108</v>
      </c>
      <c r="E7" s="31">
        <f>SUM(E3:E6)</f>
        <v>2171854.5395865506</v>
      </c>
      <c r="G7" s="13">
        <f>SUM(G3:G6)</f>
        <v>318916408.01298702</v>
      </c>
      <c r="H7" s="14">
        <f>SUM(H3:H6)</f>
        <v>873743.58359722455</v>
      </c>
      <c r="J7" s="13">
        <f>SUM(J3:J6)</f>
        <v>346574834.18181819</v>
      </c>
      <c r="K7" s="14">
        <f>SUM(K3:K6)</f>
        <v>949520.09364881692</v>
      </c>
      <c r="L7" s="14">
        <f>SUM(L3:L6)</f>
        <v>873743.58359722455</v>
      </c>
      <c r="M7" s="14">
        <f t="shared" si="1"/>
        <v>109217.94794965305</v>
      </c>
      <c r="N7" s="14">
        <f t="shared" si="2"/>
        <v>21.843589589930613</v>
      </c>
    </row>
    <row r="8" spans="2:21" x14ac:dyDescent="0.25">
      <c r="P8" s="115"/>
      <c r="Q8" s="115"/>
      <c r="R8" s="116">
        <f>40000*P18</f>
        <v>6009753.4625748573</v>
      </c>
      <c r="S8" s="116">
        <f>N18*S9</f>
        <v>25541452.215943135</v>
      </c>
      <c r="T8" s="147" t="s">
        <v>86</v>
      </c>
    </row>
    <row r="9" spans="2:21" x14ac:dyDescent="0.25">
      <c r="P9" s="117" t="s">
        <v>74</v>
      </c>
      <c r="Q9" s="118">
        <v>0.65</v>
      </c>
      <c r="R9" s="119" t="s">
        <v>32</v>
      </c>
      <c r="S9" s="120">
        <f>Q10-Q9</f>
        <v>0.16999999999999993</v>
      </c>
    </row>
    <row r="10" spans="2:21" ht="15.75" thickBot="1" x14ac:dyDescent="0.3">
      <c r="N10" s="148">
        <v>1400</v>
      </c>
      <c r="O10" s="88" t="s">
        <v>87</v>
      </c>
      <c r="P10" s="112" t="s">
        <v>75</v>
      </c>
      <c r="Q10" s="113">
        <v>0.82</v>
      </c>
      <c r="R10" s="88" t="s">
        <v>32</v>
      </c>
      <c r="U10" t="s">
        <v>35</v>
      </c>
    </row>
    <row r="11" spans="2:21" ht="15.75" thickBot="1" x14ac:dyDescent="0.3">
      <c r="M11" s="146" t="s">
        <v>31</v>
      </c>
      <c r="N11" s="148">
        <v>715</v>
      </c>
      <c r="O11" s="88" t="s">
        <v>27</v>
      </c>
      <c r="T11" s="106">
        <v>5000</v>
      </c>
      <c r="U11" s="107" t="s">
        <v>38</v>
      </c>
    </row>
    <row r="12" spans="2:21" ht="15.75" thickBot="1" x14ac:dyDescent="0.3">
      <c r="L12" s="77" t="s">
        <v>30</v>
      </c>
      <c r="M12" s="78">
        <f>'Produccion energía eléctrica'!G21</f>
        <v>2124781.5</v>
      </c>
      <c r="N12" s="79">
        <f>N10*N11</f>
        <v>1001000</v>
      </c>
      <c r="O12" s="79" t="s">
        <v>28</v>
      </c>
      <c r="P12" s="111">
        <f>N12/1000000</f>
        <v>1.0009999999999999</v>
      </c>
      <c r="Q12" s="79" t="s">
        <v>29</v>
      </c>
      <c r="R12" s="79" t="s">
        <v>33</v>
      </c>
      <c r="S12" s="80" t="s">
        <v>72</v>
      </c>
      <c r="T12" s="81" t="s">
        <v>73</v>
      </c>
    </row>
    <row r="13" spans="2:21" x14ac:dyDescent="0.25">
      <c r="L13" s="74"/>
      <c r="M13" s="75"/>
      <c r="N13" s="75"/>
      <c r="O13" s="75"/>
      <c r="P13" s="75"/>
      <c r="Q13" s="75"/>
      <c r="R13" s="75"/>
      <c r="S13" s="75"/>
      <c r="T13" s="76"/>
    </row>
    <row r="14" spans="2:21" x14ac:dyDescent="0.25">
      <c r="L14" s="52" t="s">
        <v>2</v>
      </c>
      <c r="M14" s="58">
        <f>'Energia kWh de Operacion'!P3</f>
        <v>138764539.63636363</v>
      </c>
      <c r="N14" s="59">
        <f>(M14*$N$12)/$M$12</f>
        <v>65372982.66951213</v>
      </c>
      <c r="O14" s="108" t="s">
        <v>28</v>
      </c>
      <c r="P14" s="61">
        <f>N14/1000000</f>
        <v>65.372982669512126</v>
      </c>
      <c r="Q14" s="60" t="s">
        <v>29</v>
      </c>
      <c r="R14" s="62">
        <f>$Q$10*N14</f>
        <v>53605845.788999945</v>
      </c>
      <c r="S14" s="63">
        <f>(M22/24)*3</f>
        <v>47522.10261519302</v>
      </c>
      <c r="T14" s="70">
        <f>S14/$T$11</f>
        <v>9.5044205230386041</v>
      </c>
    </row>
    <row r="15" spans="2:21" x14ac:dyDescent="0.25">
      <c r="L15" s="50" t="s">
        <v>0</v>
      </c>
      <c r="M15" s="64">
        <f>'Energia kWh de Operacion'!P4</f>
        <v>130299441.46753247</v>
      </c>
      <c r="N15" s="65">
        <f t="shared" ref="N15:N17" si="3">(M15*$N$12)/$M$12</f>
        <v>61385013.427968949</v>
      </c>
      <c r="O15" s="109" t="s">
        <v>28</v>
      </c>
      <c r="P15" s="67">
        <f>N15/1000000</f>
        <v>61.38501342796895</v>
      </c>
      <c r="Q15" s="66" t="s">
        <v>29</v>
      </c>
      <c r="R15" s="68">
        <f t="shared" ref="R15:R17" si="4">$Q$10*N15</f>
        <v>50335711.010934532</v>
      </c>
      <c r="S15" s="69">
        <f>(M23/24)*3</f>
        <v>44623.09639299057</v>
      </c>
      <c r="T15" s="71">
        <f t="shared" ref="T15:T17" si="5">S15/$T$11</f>
        <v>8.9246192785981133</v>
      </c>
    </row>
    <row r="16" spans="2:21" x14ac:dyDescent="0.25">
      <c r="L16" s="52" t="s">
        <v>1</v>
      </c>
      <c r="M16" s="58">
        <f>'Energia kWh de Operacion'!P5</f>
        <v>29347536</v>
      </c>
      <c r="N16" s="59">
        <f t="shared" si="3"/>
        <v>13825837.403045913</v>
      </c>
      <c r="O16" s="108" t="s">
        <v>28</v>
      </c>
      <c r="P16" s="61">
        <f t="shared" ref="P16:P17" si="6">N16/1000000</f>
        <v>13.825837403045913</v>
      </c>
      <c r="Q16" s="60" t="s">
        <v>29</v>
      </c>
      <c r="R16" s="62">
        <f t="shared" si="4"/>
        <v>11337186.670497648</v>
      </c>
      <c r="S16" s="63">
        <f>(M24/24)*3</f>
        <v>10050.52602739726</v>
      </c>
      <c r="T16" s="70">
        <f t="shared" si="5"/>
        <v>2.0101052054794519</v>
      </c>
    </row>
    <row r="17" spans="12:24" x14ac:dyDescent="0.25">
      <c r="L17" s="50" t="s">
        <v>3</v>
      </c>
      <c r="M17" s="64">
        <f>'Energia kWh de Operacion'!P6</f>
        <v>20504890.90909091</v>
      </c>
      <c r="N17" s="65">
        <f t="shared" si="3"/>
        <v>9660003.063844448</v>
      </c>
      <c r="O17" s="109" t="s">
        <v>28</v>
      </c>
      <c r="P17" s="67">
        <f t="shared" si="6"/>
        <v>9.6600030638444476</v>
      </c>
      <c r="Q17" s="66" t="s">
        <v>29</v>
      </c>
      <c r="R17" s="68">
        <f t="shared" si="4"/>
        <v>7921202.512352447</v>
      </c>
      <c r="S17" s="69">
        <f>(M25/24)*3</f>
        <v>7022.2229140722293</v>
      </c>
      <c r="T17" s="71">
        <f t="shared" si="5"/>
        <v>1.4044445828144458</v>
      </c>
    </row>
    <row r="18" spans="12:24" x14ac:dyDescent="0.25">
      <c r="M18" s="55">
        <f>SUM(M14:M17)</f>
        <v>318916408.01298702</v>
      </c>
      <c r="N18" s="55">
        <f>SUM(N14:N17)</f>
        <v>150243836.56437144</v>
      </c>
      <c r="O18" s="110" t="s">
        <v>28</v>
      </c>
      <c r="P18" s="56">
        <f>SUM(P14:P17)</f>
        <v>150.24383656437143</v>
      </c>
      <c r="Q18" s="56" t="s">
        <v>29</v>
      </c>
      <c r="R18" s="57">
        <f>SUM(R14:R17)</f>
        <v>123199945.98278458</v>
      </c>
    </row>
    <row r="20" spans="12:24" ht="15.75" thickBot="1" x14ac:dyDescent="0.3">
      <c r="L20" s="92" t="s">
        <v>61</v>
      </c>
      <c r="M20" s="92" t="s">
        <v>62</v>
      </c>
      <c r="N20" s="121">
        <v>5000</v>
      </c>
      <c r="O20" s="92" t="s">
        <v>59</v>
      </c>
    </row>
    <row r="21" spans="12:24" ht="36.75" thickBot="1" x14ac:dyDescent="0.3">
      <c r="L21" s="122" t="s">
        <v>58</v>
      </c>
      <c r="M21" s="123" t="s">
        <v>34</v>
      </c>
      <c r="N21" s="123" t="s">
        <v>59</v>
      </c>
      <c r="O21" s="124" t="s">
        <v>60</v>
      </c>
      <c r="P21" s="125" t="s">
        <v>76</v>
      </c>
      <c r="Q21" s="125" t="s">
        <v>77</v>
      </c>
    </row>
    <row r="22" spans="12:24" x14ac:dyDescent="0.25">
      <c r="L22" s="82" t="s">
        <v>2</v>
      </c>
      <c r="M22" s="83">
        <f>M14/365</f>
        <v>380176.82092154416</v>
      </c>
      <c r="N22" s="83">
        <f>M22/24</f>
        <v>15840.700871731007</v>
      </c>
      <c r="O22" s="83">
        <f>N22*3</f>
        <v>47522.10261519302</v>
      </c>
      <c r="P22" s="84">
        <f>O22/$N$20</f>
        <v>9.5044205230386041</v>
      </c>
      <c r="Q22" s="130">
        <f>P22*850000</f>
        <v>8078757.4445828134</v>
      </c>
    </row>
    <row r="23" spans="12:24" x14ac:dyDescent="0.25">
      <c r="L23" s="50" t="s">
        <v>0</v>
      </c>
      <c r="M23" s="49">
        <f>M15/365</f>
        <v>356984.77114392456</v>
      </c>
      <c r="N23" s="49">
        <f t="shared" ref="N23:N25" si="7">M23/24</f>
        <v>14874.365464330191</v>
      </c>
      <c r="O23" s="49">
        <f t="shared" ref="O23:O25" si="8">N23*3</f>
        <v>44623.09639299057</v>
      </c>
      <c r="P23" s="51">
        <f>O23/$N$20</f>
        <v>8.9246192785981133</v>
      </c>
      <c r="Q23" s="131">
        <f t="shared" ref="Q23:Q25" si="9">P23*850000</f>
        <v>7585926.3868083963</v>
      </c>
    </row>
    <row r="24" spans="12:24" x14ac:dyDescent="0.25">
      <c r="L24" s="52" t="s">
        <v>1</v>
      </c>
      <c r="M24" s="48">
        <f>M16/365</f>
        <v>80404.208219178079</v>
      </c>
      <c r="N24" s="48">
        <f t="shared" si="7"/>
        <v>3350.1753424657531</v>
      </c>
      <c r="O24" s="48">
        <f t="shared" si="8"/>
        <v>10050.52602739726</v>
      </c>
      <c r="P24" s="84">
        <f t="shared" ref="P24:P25" si="10">O24/$N$20</f>
        <v>2.0101052054794519</v>
      </c>
      <c r="Q24" s="130">
        <f t="shared" si="9"/>
        <v>1708589.4246575341</v>
      </c>
    </row>
    <row r="25" spans="12:24" ht="15.75" thickBot="1" x14ac:dyDescent="0.3">
      <c r="L25" s="53" t="s">
        <v>3</v>
      </c>
      <c r="M25" s="54">
        <f>M17/365</f>
        <v>56177.783312577834</v>
      </c>
      <c r="N25" s="54">
        <f t="shared" si="7"/>
        <v>2340.7409713574098</v>
      </c>
      <c r="O25" s="54">
        <f t="shared" si="8"/>
        <v>7022.2229140722293</v>
      </c>
      <c r="P25" s="84">
        <f t="shared" si="10"/>
        <v>1.4044445828144458</v>
      </c>
      <c r="Q25" s="130">
        <f t="shared" si="9"/>
        <v>1193777.8953922789</v>
      </c>
      <c r="W25" s="88"/>
      <c r="X25" s="88"/>
    </row>
    <row r="26" spans="12:24" x14ac:dyDescent="0.25">
      <c r="Q26" s="132">
        <f>SUM(Q22:Q25)</f>
        <v>18567051.151441023</v>
      </c>
    </row>
    <row r="27" spans="12:24" x14ac:dyDescent="0.25">
      <c r="L27">
        <v>1400</v>
      </c>
      <c r="M27" t="s">
        <v>57</v>
      </c>
    </row>
    <row r="28" spans="12:24" x14ac:dyDescent="0.25">
      <c r="L28">
        <v>715</v>
      </c>
      <c r="M28" t="s">
        <v>28</v>
      </c>
    </row>
    <row r="29" spans="12:24" x14ac:dyDescent="0.25">
      <c r="L29" s="46">
        <f>L27*L28</f>
        <v>1001000</v>
      </c>
      <c r="M29" t="s">
        <v>66</v>
      </c>
    </row>
    <row r="30" spans="12:24" x14ac:dyDescent="0.25">
      <c r="L30" s="42">
        <v>10484.299999999999</v>
      </c>
      <c r="M30" t="s">
        <v>67</v>
      </c>
    </row>
    <row r="32" spans="12:24" ht="27" x14ac:dyDescent="0.25">
      <c r="L32" s="88"/>
      <c r="M32" s="88"/>
      <c r="N32" s="88"/>
      <c r="O32" s="89" t="s">
        <v>64</v>
      </c>
      <c r="P32" s="90">
        <f>L27</f>
        <v>1400</v>
      </c>
      <c r="Q32" s="91" t="s">
        <v>69</v>
      </c>
      <c r="R32" s="89" t="s">
        <v>68</v>
      </c>
      <c r="S32" s="89" t="s">
        <v>85</v>
      </c>
    </row>
    <row r="33" spans="12:19" x14ac:dyDescent="0.25">
      <c r="L33" s="92" t="s">
        <v>63</v>
      </c>
      <c r="M33" s="92" t="s">
        <v>70</v>
      </c>
      <c r="N33" s="92" t="s">
        <v>65</v>
      </c>
      <c r="O33" s="92">
        <v>715</v>
      </c>
      <c r="P33" s="93">
        <f>L29</f>
        <v>1001000</v>
      </c>
      <c r="Q33" s="93">
        <f>L30</f>
        <v>10484.299999999999</v>
      </c>
      <c r="R33" s="93">
        <f>Q33*1.12</f>
        <v>11742.416000000001</v>
      </c>
      <c r="S33" s="105">
        <f>R33/10000</f>
        <v>1.1742416000000002</v>
      </c>
    </row>
    <row r="34" spans="12:19" x14ac:dyDescent="0.25">
      <c r="L34" s="82" t="s">
        <v>2</v>
      </c>
      <c r="M34" s="61">
        <f>N34/1000000</f>
        <v>65.372982669512126</v>
      </c>
      <c r="N34" s="59">
        <f>N14</f>
        <v>65372982.66951213</v>
      </c>
      <c r="O34" s="59">
        <f>N34/$L$28</f>
        <v>91430.74499232466</v>
      </c>
      <c r="P34" s="85">
        <f>O34/$L$27</f>
        <v>65.307674994517612</v>
      </c>
      <c r="Q34" s="59">
        <f>P34*$L$30</f>
        <v>684705.25694502098</v>
      </c>
      <c r="R34" s="59">
        <f>Q34*1.12</f>
        <v>766869.88777842361</v>
      </c>
      <c r="S34" s="103">
        <f t="shared" ref="S34:S38" si="11">R34/10000</f>
        <v>76.686988777842359</v>
      </c>
    </row>
    <row r="35" spans="12:19" x14ac:dyDescent="0.25">
      <c r="L35" s="50" t="s">
        <v>0</v>
      </c>
      <c r="M35" s="67">
        <f t="shared" ref="M35:M37" si="12">N35/1000000</f>
        <v>61.38501342796895</v>
      </c>
      <c r="N35" s="65">
        <f>N15</f>
        <v>61385013.427968949</v>
      </c>
      <c r="O35" s="65">
        <f>N35/$L$28</f>
        <v>85853.165633523007</v>
      </c>
      <c r="P35" s="86">
        <f t="shared" ref="P35:P38" si="13">O35/$L$27</f>
        <v>61.323689738230719</v>
      </c>
      <c r="Q35" s="65">
        <f t="shared" ref="Q35:Q38" si="14">P35*$L$30</f>
        <v>642935.96032253234</v>
      </c>
      <c r="R35" s="65">
        <f t="shared" ref="R35:R38" si="15">Q35*1.12</f>
        <v>720088.27556123631</v>
      </c>
      <c r="S35" s="104">
        <f t="shared" si="11"/>
        <v>72.008827556123634</v>
      </c>
    </row>
    <row r="36" spans="12:19" x14ac:dyDescent="0.25">
      <c r="L36" s="52" t="s">
        <v>1</v>
      </c>
      <c r="M36" s="61">
        <f t="shared" si="12"/>
        <v>13.825837403045913</v>
      </c>
      <c r="N36" s="59">
        <f>N16</f>
        <v>13825837.403045913</v>
      </c>
      <c r="O36" s="59">
        <f t="shared" ref="O36:O37" si="16">N36/$L$28</f>
        <v>19336.835528735544</v>
      </c>
      <c r="P36" s="85">
        <f t="shared" si="13"/>
        <v>13.812025377668245</v>
      </c>
      <c r="Q36" s="59">
        <f t="shared" si="14"/>
        <v>144809.41766708717</v>
      </c>
      <c r="R36" s="59">
        <f t="shared" si="15"/>
        <v>162186.54778713765</v>
      </c>
      <c r="S36" s="103">
        <f t="shared" si="11"/>
        <v>16.218654778713766</v>
      </c>
    </row>
    <row r="37" spans="12:19" ht="15.75" thickBot="1" x14ac:dyDescent="0.3">
      <c r="L37" s="53" t="s">
        <v>3</v>
      </c>
      <c r="M37" s="73">
        <f t="shared" si="12"/>
        <v>9.6600030638444476</v>
      </c>
      <c r="N37" s="72">
        <f>N17</f>
        <v>9660003.063844448</v>
      </c>
      <c r="O37" s="59">
        <f t="shared" si="16"/>
        <v>13510.493795586641</v>
      </c>
      <c r="P37" s="85">
        <f t="shared" si="13"/>
        <v>9.6503527111333156</v>
      </c>
      <c r="Q37" s="59">
        <f t="shared" si="14"/>
        <v>101177.19292933501</v>
      </c>
      <c r="R37" s="59">
        <f t="shared" si="15"/>
        <v>113318.45608085522</v>
      </c>
      <c r="S37" s="103">
        <f t="shared" si="11"/>
        <v>11.331845608085523</v>
      </c>
    </row>
    <row r="38" spans="12:19" x14ac:dyDescent="0.25">
      <c r="O38" s="127">
        <f>SUM(O34:O37)</f>
        <v>210131.23995016984</v>
      </c>
      <c r="P38" s="149">
        <f t="shared" si="13"/>
        <v>150.09374282154988</v>
      </c>
      <c r="Q38" s="128">
        <f t="shared" si="14"/>
        <v>1573627.8278639752</v>
      </c>
      <c r="R38" s="128">
        <f t="shared" si="15"/>
        <v>1762463.1672076525</v>
      </c>
      <c r="S38" s="129">
        <f t="shared" si="11"/>
        <v>176.24631672076524</v>
      </c>
    </row>
    <row r="39" spans="12:19" ht="15.75" thickBot="1" x14ac:dyDescent="0.3"/>
    <row r="40" spans="12:19" x14ac:dyDescent="0.25">
      <c r="L40" s="137" t="s">
        <v>78</v>
      </c>
      <c r="M40" s="138"/>
      <c r="N40" s="143" t="s">
        <v>78</v>
      </c>
      <c r="O40" s="88" t="s">
        <v>81</v>
      </c>
    </row>
    <row r="41" spans="12:19" x14ac:dyDescent="0.25">
      <c r="L41" s="139">
        <f>R18+Q26</f>
        <v>141766997.13422561</v>
      </c>
      <c r="M41" s="140"/>
      <c r="N41" s="143" t="s">
        <v>82</v>
      </c>
      <c r="O41" s="88" t="s">
        <v>83</v>
      </c>
      <c r="Q41" s="152">
        <v>2.5000000000000001E-2</v>
      </c>
      <c r="R41" s="153" t="s">
        <v>84</v>
      </c>
    </row>
    <row r="42" spans="12:19" x14ac:dyDescent="0.25">
      <c r="L42" s="133" t="s">
        <v>79</v>
      </c>
      <c r="M42" s="134"/>
      <c r="Q42" s="154">
        <f>L45*0.025</f>
        <v>3694418.7649200121</v>
      </c>
    </row>
    <row r="43" spans="12:19" x14ac:dyDescent="0.25">
      <c r="L43" s="135">
        <f>P18*40000</f>
        <v>6009753.4625748573</v>
      </c>
      <c r="M43" s="136"/>
    </row>
    <row r="44" spans="12:19" x14ac:dyDescent="0.25">
      <c r="L44" s="141" t="s">
        <v>80</v>
      </c>
      <c r="M44" s="142"/>
      <c r="O44" s="157">
        <v>2</v>
      </c>
      <c r="P44" s="158" t="s">
        <v>59</v>
      </c>
      <c r="Q44" s="158" t="s">
        <v>88</v>
      </c>
      <c r="R44" s="158"/>
    </row>
    <row r="45" spans="12:19" ht="15.75" thickBot="1" x14ac:dyDescent="0.3">
      <c r="L45" s="150">
        <f>L41+L43</f>
        <v>147776750.59680048</v>
      </c>
      <c r="M45" s="151"/>
    </row>
    <row r="46" spans="12:19" x14ac:dyDescent="0.25">
      <c r="L46" s="159">
        <f>L43/L45</f>
        <v>4.0667787309602507E-2</v>
      </c>
      <c r="M46" s="160"/>
    </row>
  </sheetData>
  <mergeCells count="7">
    <mergeCell ref="L44:M44"/>
    <mergeCell ref="L45:M45"/>
    <mergeCell ref="L46:M46"/>
    <mergeCell ref="L40:M40"/>
    <mergeCell ref="L41:M41"/>
    <mergeCell ref="L42:M42"/>
    <mergeCell ref="L43:M4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H21"/>
  <sheetViews>
    <sheetView workbookViewId="0">
      <selection activeCell="I13" sqref="I13"/>
    </sheetView>
  </sheetViews>
  <sheetFormatPr baseColWidth="10" defaultRowHeight="15" x14ac:dyDescent="0.25"/>
  <cols>
    <col min="2" max="2" width="12.5703125" bestFit="1" customWidth="1"/>
    <col min="7" max="7" width="11.42578125" bestFit="1" customWidth="1"/>
  </cols>
  <sheetData>
    <row r="4" spans="2:7" x14ac:dyDescent="0.25">
      <c r="B4">
        <v>715</v>
      </c>
      <c r="C4" t="s">
        <v>28</v>
      </c>
    </row>
    <row r="5" spans="2:7" x14ac:dyDescent="0.25">
      <c r="B5">
        <v>1400</v>
      </c>
      <c r="C5" t="s">
        <v>57</v>
      </c>
    </row>
    <row r="6" spans="2:7" x14ac:dyDescent="0.25">
      <c r="B6" s="46">
        <f>B4*B5</f>
        <v>1001000</v>
      </c>
      <c r="C6" t="s">
        <v>28</v>
      </c>
    </row>
    <row r="8" spans="2:7" ht="30" x14ac:dyDescent="0.25">
      <c r="B8" s="94" t="s">
        <v>39</v>
      </c>
      <c r="C8" s="94" t="s">
        <v>40</v>
      </c>
      <c r="D8" s="94" t="s">
        <v>41</v>
      </c>
      <c r="E8" s="94" t="s">
        <v>42</v>
      </c>
      <c r="F8" s="94" t="s">
        <v>43</v>
      </c>
      <c r="G8" s="94" t="s">
        <v>44</v>
      </c>
    </row>
    <row r="9" spans="2:7" x14ac:dyDescent="0.25">
      <c r="B9" s="95" t="s">
        <v>45</v>
      </c>
      <c r="C9" s="101">
        <v>123.2</v>
      </c>
      <c r="D9" s="101">
        <v>185.5</v>
      </c>
      <c r="E9" s="101">
        <v>182.4</v>
      </c>
      <c r="F9" s="98">
        <v>176973.2</v>
      </c>
      <c r="G9" s="98">
        <v>161209.4</v>
      </c>
    </row>
    <row r="10" spans="2:7" x14ac:dyDescent="0.25">
      <c r="B10" s="96" t="s">
        <v>46</v>
      </c>
      <c r="C10" s="102">
        <v>144.1</v>
      </c>
      <c r="D10" s="102">
        <v>195.7</v>
      </c>
      <c r="E10" s="102">
        <v>193.7</v>
      </c>
      <c r="F10" s="99">
        <v>188079</v>
      </c>
      <c r="G10" s="99">
        <v>167644</v>
      </c>
    </row>
    <row r="11" spans="2:7" x14ac:dyDescent="0.25">
      <c r="B11" s="95" t="s">
        <v>47</v>
      </c>
      <c r="C11" s="101">
        <v>196.9</v>
      </c>
      <c r="D11" s="101">
        <v>232.1</v>
      </c>
      <c r="E11" s="101">
        <v>230.5</v>
      </c>
      <c r="F11" s="98">
        <v>224837</v>
      </c>
      <c r="G11" s="100">
        <v>197211.4</v>
      </c>
    </row>
    <row r="12" spans="2:7" x14ac:dyDescent="0.25">
      <c r="B12" s="96" t="s">
        <v>48</v>
      </c>
      <c r="C12" s="102">
        <v>227.7</v>
      </c>
      <c r="D12" s="102">
        <v>236.1</v>
      </c>
      <c r="E12" s="102">
        <v>234.5</v>
      </c>
      <c r="F12" s="99">
        <v>229945.8</v>
      </c>
      <c r="G12" s="99">
        <v>200627.1</v>
      </c>
    </row>
    <row r="13" spans="2:7" x14ac:dyDescent="0.25">
      <c r="B13" s="95" t="s">
        <v>49</v>
      </c>
      <c r="C13" s="101">
        <v>253.8</v>
      </c>
      <c r="D13" s="101">
        <v>237.4</v>
      </c>
      <c r="E13" s="101">
        <v>235.7</v>
      </c>
      <c r="F13" s="98">
        <v>232868.7</v>
      </c>
      <c r="G13" s="100">
        <v>202062.4</v>
      </c>
    </row>
    <row r="14" spans="2:7" x14ac:dyDescent="0.25">
      <c r="B14" s="96" t="s">
        <v>50</v>
      </c>
      <c r="C14" s="102">
        <v>233.7</v>
      </c>
      <c r="D14" s="102">
        <v>209.9</v>
      </c>
      <c r="E14" s="102">
        <v>208.2</v>
      </c>
      <c r="F14" s="99">
        <v>206648.7</v>
      </c>
      <c r="G14" s="99">
        <v>177384.6</v>
      </c>
    </row>
    <row r="15" spans="2:7" x14ac:dyDescent="0.25">
      <c r="B15" s="95" t="s">
        <v>51</v>
      </c>
      <c r="C15" s="101">
        <v>220.3</v>
      </c>
      <c r="D15" s="101">
        <v>204.4</v>
      </c>
      <c r="E15" s="101">
        <v>202.1</v>
      </c>
      <c r="F15" s="98">
        <v>200291.5</v>
      </c>
      <c r="G15" s="100">
        <v>173850.9</v>
      </c>
    </row>
    <row r="16" spans="2:7" x14ac:dyDescent="0.25">
      <c r="B16" s="96" t="s">
        <v>52</v>
      </c>
      <c r="C16" s="102">
        <v>201.6</v>
      </c>
      <c r="D16" s="102">
        <v>202</v>
      </c>
      <c r="E16" s="102">
        <v>200.1</v>
      </c>
      <c r="F16" s="99">
        <v>197314.6</v>
      </c>
      <c r="G16" s="99">
        <v>171098.7</v>
      </c>
    </row>
    <row r="17" spans="2:8" x14ac:dyDescent="0.25">
      <c r="B17" s="95" t="s">
        <v>53</v>
      </c>
      <c r="C17" s="101">
        <v>183.4</v>
      </c>
      <c r="D17" s="101">
        <v>205.8</v>
      </c>
      <c r="E17" s="101">
        <v>204.3</v>
      </c>
      <c r="F17" s="98">
        <v>199646.7</v>
      </c>
      <c r="G17" s="100">
        <v>172701.4</v>
      </c>
    </row>
    <row r="18" spans="2:8" x14ac:dyDescent="0.25">
      <c r="B18" s="96" t="s">
        <v>54</v>
      </c>
      <c r="C18" s="102">
        <v>160.30000000000001</v>
      </c>
      <c r="D18" s="102">
        <v>205.4</v>
      </c>
      <c r="E18" s="102">
        <v>204.1</v>
      </c>
      <c r="F18" s="99">
        <v>198685</v>
      </c>
      <c r="G18" s="99">
        <v>175066.1</v>
      </c>
    </row>
    <row r="19" spans="2:8" x14ac:dyDescent="0.25">
      <c r="B19" s="95" t="s">
        <v>55</v>
      </c>
      <c r="C19" s="101">
        <v>134.9</v>
      </c>
      <c r="D19" s="101">
        <v>200.5</v>
      </c>
      <c r="E19" s="101">
        <v>197</v>
      </c>
      <c r="F19" s="98">
        <v>191066.2</v>
      </c>
      <c r="G19" s="100">
        <v>171341.4</v>
      </c>
    </row>
    <row r="20" spans="2:8" x14ac:dyDescent="0.25">
      <c r="B20" s="96" t="s">
        <v>56</v>
      </c>
      <c r="C20" s="102">
        <v>113.6</v>
      </c>
      <c r="D20" s="102">
        <v>179.3</v>
      </c>
      <c r="E20" s="102">
        <v>174.8</v>
      </c>
      <c r="F20" s="99">
        <v>169340.79999999999</v>
      </c>
      <c r="G20" s="99">
        <v>154584.1</v>
      </c>
    </row>
    <row r="21" spans="2:8" x14ac:dyDescent="0.25">
      <c r="G21" s="47">
        <f>SUM(G9:G20)</f>
        <v>2124781.5</v>
      </c>
      <c r="H21" s="87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2B44-DB3B-4762-B0FA-4E336AC64B38}">
  <dimension ref="C2:T34"/>
  <sheetViews>
    <sheetView tabSelected="1" zoomScale="110" zoomScaleNormal="110" workbookViewId="0">
      <selection activeCell="R38" sqref="R38"/>
    </sheetView>
  </sheetViews>
  <sheetFormatPr baseColWidth="10" defaultRowHeight="15" x14ac:dyDescent="0.25"/>
  <cols>
    <col min="2" max="2" width="4.140625" customWidth="1"/>
    <col min="3" max="3" width="21.7109375" bestFit="1" customWidth="1"/>
    <col min="4" max="4" width="26.85546875" bestFit="1" customWidth="1"/>
    <col min="5" max="5" width="15.140625" bestFit="1" customWidth="1"/>
    <col min="6" max="6" width="13.28515625" bestFit="1" customWidth="1"/>
    <col min="7" max="10" width="13.7109375" bestFit="1" customWidth="1"/>
    <col min="11" max="19" width="13.85546875" bestFit="1" customWidth="1"/>
  </cols>
  <sheetData>
    <row r="2" spans="3:19" x14ac:dyDescent="0.25">
      <c r="C2" s="161" t="s">
        <v>126</v>
      </c>
      <c r="D2" s="161"/>
    </row>
    <row r="3" spans="3:19" x14ac:dyDescent="0.25">
      <c r="C3" s="143" t="s">
        <v>89</v>
      </c>
      <c r="D3" s="162">
        <f>Resumen!L45</f>
        <v>147776750.59680048</v>
      </c>
    </row>
    <row r="4" spans="3:19" x14ac:dyDescent="0.25">
      <c r="C4" s="143" t="s">
        <v>90</v>
      </c>
      <c r="D4" s="163">
        <f>D3*0.3</f>
        <v>44333025.179040141</v>
      </c>
    </row>
    <row r="5" spans="3:19" x14ac:dyDescent="0.25">
      <c r="C5" s="143" t="s">
        <v>91</v>
      </c>
      <c r="D5" s="163">
        <f>D3*0.7</f>
        <v>103443725.41776033</v>
      </c>
    </row>
    <row r="6" spans="3:19" x14ac:dyDescent="0.25">
      <c r="C6" s="143" t="s">
        <v>92</v>
      </c>
      <c r="D6" s="164">
        <v>7.3646000000000003E-2</v>
      </c>
    </row>
    <row r="7" spans="3:19" x14ac:dyDescent="0.25">
      <c r="C7" s="143" t="s">
        <v>93</v>
      </c>
      <c r="D7" s="164">
        <f>D8-D6</f>
        <v>3.6353999999999997E-2</v>
      </c>
    </row>
    <row r="8" spans="3:19" x14ac:dyDescent="0.25">
      <c r="C8" s="143" t="s">
        <v>94</v>
      </c>
      <c r="D8" s="164">
        <v>0.11</v>
      </c>
    </row>
    <row r="9" spans="3:19" x14ac:dyDescent="0.25">
      <c r="C9" s="143" t="s">
        <v>97</v>
      </c>
      <c r="D9" s="114">
        <v>17.7</v>
      </c>
    </row>
    <row r="10" spans="3:19" x14ac:dyDescent="0.25">
      <c r="C10" s="143" t="s">
        <v>95</v>
      </c>
      <c r="D10" s="88">
        <v>15</v>
      </c>
    </row>
    <row r="11" spans="3:19" x14ac:dyDescent="0.25">
      <c r="C11" s="143" t="s">
        <v>96</v>
      </c>
      <c r="D11" s="165">
        <f>2/D9</f>
        <v>0.11299435028248588</v>
      </c>
    </row>
    <row r="12" spans="3:19" x14ac:dyDescent="0.25">
      <c r="C12" s="143" t="s">
        <v>114</v>
      </c>
      <c r="D12" s="166">
        <v>0.06</v>
      </c>
    </row>
    <row r="13" spans="3:19" s="1" customFormat="1" x14ac:dyDescent="0.25">
      <c r="E13" s="146" t="s">
        <v>99</v>
      </c>
      <c r="F13" s="146" t="s">
        <v>100</v>
      </c>
      <c r="G13" s="146" t="s">
        <v>101</v>
      </c>
      <c r="H13" s="146" t="s">
        <v>102</v>
      </c>
      <c r="I13" s="146" t="s">
        <v>103</v>
      </c>
      <c r="J13" s="146" t="s">
        <v>104</v>
      </c>
      <c r="K13" s="146" t="s">
        <v>105</v>
      </c>
      <c r="L13" s="146" t="s">
        <v>106</v>
      </c>
      <c r="M13" s="146" t="s">
        <v>107</v>
      </c>
      <c r="N13" s="146" t="s">
        <v>108</v>
      </c>
      <c r="O13" s="146" t="s">
        <v>109</v>
      </c>
      <c r="P13" s="146" t="s">
        <v>110</v>
      </c>
      <c r="Q13" s="146" t="s">
        <v>111</v>
      </c>
      <c r="R13" s="146" t="s">
        <v>112</v>
      </c>
      <c r="S13" s="146" t="s">
        <v>113</v>
      </c>
    </row>
    <row r="14" spans="3:19" x14ac:dyDescent="0.25">
      <c r="D14" s="97" t="s">
        <v>98</v>
      </c>
      <c r="E14" s="29">
        <f>Resumen!M18*'Model $'!D11</f>
        <v>36035752.31785164</v>
      </c>
      <c r="F14" s="126">
        <f>E14*1.03</f>
        <v>37116824.887387194</v>
      </c>
      <c r="G14" s="126">
        <f t="shared" ref="G14:S14" si="0">F14*1.03</f>
        <v>38230329.63400881</v>
      </c>
      <c r="H14" s="126">
        <f t="shared" si="0"/>
        <v>39377239.523029074</v>
      </c>
      <c r="I14" s="126">
        <f t="shared" si="0"/>
        <v>40558556.708719946</v>
      </c>
      <c r="J14" s="126">
        <f t="shared" si="0"/>
        <v>41775313.409981549</v>
      </c>
      <c r="K14" s="126">
        <f t="shared" si="0"/>
        <v>43028572.812280998</v>
      </c>
      <c r="L14" s="126">
        <f t="shared" si="0"/>
        <v>44319429.996649429</v>
      </c>
      <c r="M14" s="126">
        <f t="shared" si="0"/>
        <v>45649012.896548912</v>
      </c>
      <c r="N14" s="126">
        <f t="shared" si="0"/>
        <v>47018483.283445381</v>
      </c>
      <c r="O14" s="126">
        <f t="shared" si="0"/>
        <v>48429037.781948745</v>
      </c>
      <c r="P14" s="126">
        <f t="shared" si="0"/>
        <v>49881908.915407211</v>
      </c>
      <c r="Q14" s="126">
        <f t="shared" si="0"/>
        <v>51378366.182869427</v>
      </c>
      <c r="R14" s="126">
        <f t="shared" si="0"/>
        <v>52919717.16835551</v>
      </c>
      <c r="S14" s="126">
        <f t="shared" si="0"/>
        <v>54507308.683406174</v>
      </c>
    </row>
    <row r="16" spans="3:19" x14ac:dyDescent="0.25">
      <c r="D16" s="97" t="s">
        <v>115</v>
      </c>
      <c r="E16" s="126">
        <f>D5*D8</f>
        <v>11378809.795953637</v>
      </c>
      <c r="F16" s="126">
        <f>($D$5-E18)*D8</f>
        <v>10620222.476223394</v>
      </c>
      <c r="G16" s="126">
        <f>($D$5-F18)*$D$8</f>
        <v>9861635.1564931516</v>
      </c>
      <c r="H16" s="126">
        <f t="shared" ref="H16:S16" si="1">($D$5-G18)*$D$8</f>
        <v>9103047.8367629088</v>
      </c>
      <c r="I16" s="126">
        <f t="shared" si="1"/>
        <v>8344460.5170326671</v>
      </c>
      <c r="J16" s="126">
        <f t="shared" si="1"/>
        <v>7585873.1973024243</v>
      </c>
      <c r="K16" s="126">
        <f t="shared" si="1"/>
        <v>6827285.8775721816</v>
      </c>
      <c r="L16" s="126">
        <f t="shared" si="1"/>
        <v>6068698.5578419389</v>
      </c>
      <c r="M16" s="126">
        <f t="shared" si="1"/>
        <v>5310111.2381116962</v>
      </c>
      <c r="N16" s="126">
        <f t="shared" si="1"/>
        <v>4551523.9183814535</v>
      </c>
      <c r="O16" s="126">
        <f t="shared" si="1"/>
        <v>3792936.5986512122</v>
      </c>
      <c r="P16" s="126">
        <f t="shared" si="1"/>
        <v>3034349.2789209704</v>
      </c>
      <c r="Q16" s="126">
        <f t="shared" si="1"/>
        <v>2275761.9591907286</v>
      </c>
      <c r="R16" s="126">
        <f t="shared" si="1"/>
        <v>1517174.6394604868</v>
      </c>
      <c r="S16" s="126">
        <f t="shared" si="1"/>
        <v>758587.31973024504</v>
      </c>
    </row>
    <row r="17" spans="4:20" x14ac:dyDescent="0.25">
      <c r="D17" s="97" t="s">
        <v>116</v>
      </c>
      <c r="E17" s="126">
        <f>D5/15</f>
        <v>6896248.3611840215</v>
      </c>
      <c r="F17" s="126">
        <f>E17</f>
        <v>6896248.3611840215</v>
      </c>
      <c r="G17" s="126">
        <f t="shared" ref="G17:S17" si="2">F17</f>
        <v>6896248.3611840215</v>
      </c>
      <c r="H17" s="126">
        <f t="shared" si="2"/>
        <v>6896248.3611840215</v>
      </c>
      <c r="I17" s="126">
        <f t="shared" si="2"/>
        <v>6896248.3611840215</v>
      </c>
      <c r="J17" s="126">
        <f t="shared" si="2"/>
        <v>6896248.3611840215</v>
      </c>
      <c r="K17" s="126">
        <f t="shared" si="2"/>
        <v>6896248.3611840215</v>
      </c>
      <c r="L17" s="126">
        <f t="shared" si="2"/>
        <v>6896248.3611840215</v>
      </c>
      <c r="M17" s="126">
        <f t="shared" si="2"/>
        <v>6896248.3611840215</v>
      </c>
      <c r="N17" s="126">
        <f t="shared" si="2"/>
        <v>6896248.3611840215</v>
      </c>
      <c r="O17" s="126">
        <f t="shared" si="2"/>
        <v>6896248.3611840215</v>
      </c>
      <c r="P17" s="126">
        <f t="shared" si="2"/>
        <v>6896248.3611840215</v>
      </c>
      <c r="Q17" s="126">
        <f t="shared" si="2"/>
        <v>6896248.3611840215</v>
      </c>
      <c r="R17" s="126">
        <f t="shared" si="2"/>
        <v>6896248.3611840215</v>
      </c>
      <c r="S17" s="126">
        <f t="shared" si="2"/>
        <v>6896248.3611840215</v>
      </c>
    </row>
    <row r="18" spans="4:20" x14ac:dyDescent="0.25">
      <c r="D18" s="97"/>
      <c r="E18" s="126">
        <f>E17</f>
        <v>6896248.3611840215</v>
      </c>
      <c r="F18" s="126">
        <f>E17+F17</f>
        <v>13792496.722368043</v>
      </c>
      <c r="G18" s="126">
        <f>G17+F18</f>
        <v>20688745.083552063</v>
      </c>
      <c r="H18" s="126">
        <f t="shared" ref="H18:S18" si="3">H17+G18</f>
        <v>27584993.444736086</v>
      </c>
      <c r="I18" s="126">
        <f t="shared" si="3"/>
        <v>34481241.805920109</v>
      </c>
      <c r="J18" s="126">
        <f t="shared" si="3"/>
        <v>41377490.167104132</v>
      </c>
      <c r="K18" s="126">
        <f t="shared" si="3"/>
        <v>48273738.528288156</v>
      </c>
      <c r="L18" s="126">
        <f t="shared" si="3"/>
        <v>55169986.889472179</v>
      </c>
      <c r="M18" s="126">
        <f t="shared" si="3"/>
        <v>62066235.250656202</v>
      </c>
      <c r="N18" s="126">
        <f t="shared" si="3"/>
        <v>68962483.611840218</v>
      </c>
      <c r="O18" s="126">
        <f t="shared" si="3"/>
        <v>75858731.973024234</v>
      </c>
      <c r="P18" s="126">
        <f t="shared" si="3"/>
        <v>82754980.33420825</v>
      </c>
      <c r="Q18" s="126">
        <f t="shared" si="3"/>
        <v>89651228.695392266</v>
      </c>
      <c r="R18" s="126">
        <f t="shared" si="3"/>
        <v>96547477.056576282</v>
      </c>
      <c r="S18" s="126">
        <f t="shared" si="3"/>
        <v>103443725.4177603</v>
      </c>
      <c r="T18" s="126"/>
    </row>
    <row r="19" spans="4:20" x14ac:dyDescent="0.25">
      <c r="D19" s="97"/>
    </row>
    <row r="20" spans="4:20" x14ac:dyDescent="0.25">
      <c r="D20" s="97" t="s">
        <v>117</v>
      </c>
      <c r="E20" s="126">
        <f>D3*0.025</f>
        <v>3694418.7649200121</v>
      </c>
      <c r="F20" s="126">
        <f>E20*1.03</f>
        <v>3805251.3278676127</v>
      </c>
      <c r="G20" s="126">
        <f t="shared" ref="G20:S20" si="4">F20*1.03</f>
        <v>3919408.8677036413</v>
      </c>
      <c r="H20" s="126">
        <f t="shared" si="4"/>
        <v>4036991.1337347506</v>
      </c>
      <c r="I20" s="126">
        <f t="shared" si="4"/>
        <v>4158100.8677467932</v>
      </c>
      <c r="J20" s="126">
        <f t="shared" si="4"/>
        <v>4282843.8937791968</v>
      </c>
      <c r="K20" s="126">
        <f t="shared" si="4"/>
        <v>4411329.2105925726</v>
      </c>
      <c r="L20" s="126">
        <f t="shared" si="4"/>
        <v>4543669.0869103502</v>
      </c>
      <c r="M20" s="126">
        <f t="shared" si="4"/>
        <v>4679979.1595176607</v>
      </c>
      <c r="N20" s="126">
        <f t="shared" si="4"/>
        <v>4820378.5343031911</v>
      </c>
      <c r="O20" s="126">
        <f t="shared" si="4"/>
        <v>4964989.8903322872</v>
      </c>
      <c r="P20" s="126">
        <f t="shared" si="4"/>
        <v>5113939.5870422563</v>
      </c>
      <c r="Q20" s="126">
        <f t="shared" si="4"/>
        <v>5267357.7746535242</v>
      </c>
      <c r="R20" s="126">
        <f t="shared" si="4"/>
        <v>5425378.5078931302</v>
      </c>
      <c r="S20" s="126">
        <f t="shared" si="4"/>
        <v>5588139.8631299241</v>
      </c>
    </row>
    <row r="21" spans="4:20" x14ac:dyDescent="0.25">
      <c r="D21" s="97"/>
    </row>
    <row r="22" spans="4:20" x14ac:dyDescent="0.25">
      <c r="D22" s="97" t="s">
        <v>118</v>
      </c>
      <c r="E22" s="126">
        <f>E16+E17+E20</f>
        <v>21969476.92205767</v>
      </c>
      <c r="F22" s="126">
        <f t="shared" ref="F22:S22" si="5">F16+F17+F20</f>
        <v>21321722.16527503</v>
      </c>
      <c r="G22" s="126">
        <f t="shared" si="5"/>
        <v>20677292.385380816</v>
      </c>
      <c r="H22" s="126">
        <f t="shared" si="5"/>
        <v>20036287.33168168</v>
      </c>
      <c r="I22" s="126">
        <f t="shared" si="5"/>
        <v>19398809.74596348</v>
      </c>
      <c r="J22" s="126">
        <f t="shared" si="5"/>
        <v>18764965.452265643</v>
      </c>
      <c r="K22" s="126">
        <f t="shared" si="5"/>
        <v>18134863.449348774</v>
      </c>
      <c r="L22" s="126">
        <f t="shared" si="5"/>
        <v>17508616.00593631</v>
      </c>
      <c r="M22" s="126">
        <f t="shared" si="5"/>
        <v>16886338.758813377</v>
      </c>
      <c r="N22" s="126">
        <f t="shared" si="5"/>
        <v>16268150.813868668</v>
      </c>
      <c r="O22" s="126">
        <f t="shared" si="5"/>
        <v>15654174.85016752</v>
      </c>
      <c r="P22" s="126">
        <f t="shared" si="5"/>
        <v>15044537.227147248</v>
      </c>
      <c r="Q22" s="126">
        <f t="shared" si="5"/>
        <v>14439368.095028274</v>
      </c>
      <c r="R22" s="126">
        <f t="shared" si="5"/>
        <v>13838801.508537639</v>
      </c>
      <c r="S22" s="126">
        <f t="shared" si="5"/>
        <v>13242975.544044189</v>
      </c>
    </row>
    <row r="23" spans="4:20" x14ac:dyDescent="0.25">
      <c r="D23" s="97"/>
    </row>
    <row r="24" spans="4:20" x14ac:dyDescent="0.25">
      <c r="D24" s="97" t="s">
        <v>119</v>
      </c>
      <c r="E24" s="126">
        <f>E14-E22</f>
        <v>14066275.395793971</v>
      </c>
      <c r="F24" s="126">
        <f t="shared" ref="F24:S24" si="6">F14-F22</f>
        <v>15795102.722112164</v>
      </c>
      <c r="G24" s="126">
        <f t="shared" si="6"/>
        <v>17553037.248627994</v>
      </c>
      <c r="H24" s="126">
        <f t="shared" si="6"/>
        <v>19340952.191347394</v>
      </c>
      <c r="I24" s="126">
        <f t="shared" si="6"/>
        <v>21159746.962756466</v>
      </c>
      <c r="J24" s="126">
        <f t="shared" si="6"/>
        <v>23010347.957715906</v>
      </c>
      <c r="K24" s="126">
        <f t="shared" si="6"/>
        <v>24893709.362932224</v>
      </c>
      <c r="L24" s="126">
        <f t="shared" si="6"/>
        <v>26810813.99071312</v>
      </c>
      <c r="M24" s="126">
        <f t="shared" si="6"/>
        <v>28762674.137735534</v>
      </c>
      <c r="N24" s="126">
        <f t="shared" si="6"/>
        <v>30750332.469576713</v>
      </c>
      <c r="O24" s="126">
        <f t="shared" si="6"/>
        <v>32774862.931781225</v>
      </c>
      <c r="P24" s="126">
        <f t="shared" si="6"/>
        <v>34837371.688259959</v>
      </c>
      <c r="Q24" s="126">
        <f t="shared" si="6"/>
        <v>36938998.087841153</v>
      </c>
      <c r="R24" s="126">
        <f t="shared" si="6"/>
        <v>39080915.659817874</v>
      </c>
      <c r="S24" s="126">
        <f t="shared" si="6"/>
        <v>41264333.139361985</v>
      </c>
    </row>
    <row r="25" spans="4:20" x14ac:dyDescent="0.25">
      <c r="D25" s="97" t="s">
        <v>120</v>
      </c>
      <c r="F25" s="126">
        <f>E24+F24</f>
        <v>29861378.117906135</v>
      </c>
      <c r="G25" s="126">
        <f>G24+F25</f>
        <v>47414415.366534129</v>
      </c>
      <c r="H25" s="126">
        <f t="shared" ref="H25:S25" si="7">H24+G25</f>
        <v>66755367.557881519</v>
      </c>
      <c r="I25" s="126">
        <f t="shared" si="7"/>
        <v>87915114.520637989</v>
      </c>
      <c r="J25" s="126">
        <f t="shared" si="7"/>
        <v>110925462.47835389</v>
      </c>
      <c r="K25" s="126">
        <f t="shared" si="7"/>
        <v>135819171.84128612</v>
      </c>
      <c r="L25" s="126">
        <f t="shared" si="7"/>
        <v>162629985.83199924</v>
      </c>
      <c r="M25" s="126">
        <f t="shared" si="7"/>
        <v>191392659.96973479</v>
      </c>
      <c r="N25" s="126">
        <f t="shared" si="7"/>
        <v>222142992.4393115</v>
      </c>
      <c r="O25" s="126">
        <f t="shared" si="7"/>
        <v>254917855.37109274</v>
      </c>
      <c r="P25" s="126">
        <f t="shared" si="7"/>
        <v>289755227.0593527</v>
      </c>
      <c r="Q25" s="126">
        <f t="shared" si="7"/>
        <v>326694225.14719385</v>
      </c>
      <c r="R25" s="126">
        <f t="shared" si="7"/>
        <v>365775140.80701172</v>
      </c>
      <c r="S25" s="126">
        <f t="shared" si="7"/>
        <v>407039473.9463737</v>
      </c>
    </row>
    <row r="26" spans="4:20" x14ac:dyDescent="0.25">
      <c r="D26" s="97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</row>
    <row r="27" spans="4:20" x14ac:dyDescent="0.25">
      <c r="D27" s="97" t="s">
        <v>127</v>
      </c>
      <c r="E27" s="126">
        <f>D3/5</f>
        <v>29555350.119360097</v>
      </c>
      <c r="F27" s="126">
        <f>E27</f>
        <v>29555350.119360097</v>
      </c>
      <c r="G27" s="126">
        <f>F27</f>
        <v>29555350.119360097</v>
      </c>
      <c r="H27" s="126">
        <f>G27</f>
        <v>29555350.119360097</v>
      </c>
      <c r="I27" s="126">
        <f>H27</f>
        <v>29555350.119360097</v>
      </c>
    </row>
    <row r="28" spans="4:20" x14ac:dyDescent="0.25">
      <c r="D28" s="97" t="s">
        <v>121</v>
      </c>
      <c r="E28" s="126">
        <f>-E27</f>
        <v>-29555350.119360097</v>
      </c>
      <c r="F28" s="126">
        <f>-F27</f>
        <v>-29555350.119360097</v>
      </c>
      <c r="G28" s="126">
        <f>-G27</f>
        <v>-29555350.119360097</v>
      </c>
      <c r="H28" s="126">
        <f>-H27</f>
        <v>-29555350.119360097</v>
      </c>
      <c r="I28" s="126">
        <f>-I27</f>
        <v>-29555350.119360097</v>
      </c>
      <c r="J28" s="126">
        <f>J24*0.35</f>
        <v>8053621.785200567</v>
      </c>
      <c r="K28" s="126">
        <f>K24*0.35</f>
        <v>8712798.277026277</v>
      </c>
      <c r="L28" s="126">
        <f>L24*0.35</f>
        <v>9383784.8967495915</v>
      </c>
      <c r="M28" s="126">
        <f>M24*0.35</f>
        <v>10066935.948207436</v>
      </c>
      <c r="N28" s="126">
        <f>N24*0.35</f>
        <v>10762616.364351848</v>
      </c>
      <c r="O28" s="126">
        <f>O24*0.35</f>
        <v>11471202.026123429</v>
      </c>
      <c r="P28" s="126">
        <f>P24*0.35</f>
        <v>12193080.090890985</v>
      </c>
      <c r="Q28" s="126">
        <f>Q24*0.35</f>
        <v>12928649.330744402</v>
      </c>
      <c r="R28" s="126">
        <f>R24*0.35</f>
        <v>13678320.480936255</v>
      </c>
      <c r="S28" s="126">
        <f>S24*0.35</f>
        <v>14442516.598776694</v>
      </c>
    </row>
    <row r="30" spans="4:20" x14ac:dyDescent="0.25">
      <c r="D30" s="97" t="s">
        <v>122</v>
      </c>
      <c r="E30" s="126">
        <f>E24-E28</f>
        <v>43621625.515154064</v>
      </c>
      <c r="F30" s="126">
        <f t="shared" ref="F30:S30" si="8">F24-F28</f>
        <v>45350452.841472261</v>
      </c>
      <c r="G30" s="126">
        <f t="shared" si="8"/>
        <v>47108387.367988095</v>
      </c>
      <c r="H30" s="126">
        <f t="shared" si="8"/>
        <v>48896302.310707495</v>
      </c>
      <c r="I30" s="126">
        <f t="shared" si="8"/>
        <v>50715097.082116559</v>
      </c>
      <c r="J30" s="126">
        <f t="shared" si="8"/>
        <v>14956726.17251534</v>
      </c>
      <c r="K30" s="126">
        <f t="shared" si="8"/>
        <v>16180911.085905947</v>
      </c>
      <c r="L30" s="126">
        <f t="shared" si="8"/>
        <v>17427029.093963526</v>
      </c>
      <c r="M30" s="126">
        <f t="shared" si="8"/>
        <v>18695738.1895281</v>
      </c>
      <c r="N30" s="126">
        <f t="shared" si="8"/>
        <v>19987716.105224863</v>
      </c>
      <c r="O30" s="126">
        <f t="shared" si="8"/>
        <v>21303660.905657798</v>
      </c>
      <c r="P30" s="126">
        <f t="shared" si="8"/>
        <v>22644291.597368974</v>
      </c>
      <c r="Q30" s="126">
        <f t="shared" si="8"/>
        <v>24010348.757096753</v>
      </c>
      <c r="R30" s="126">
        <f t="shared" si="8"/>
        <v>25402595.178881619</v>
      </c>
      <c r="S30" s="126">
        <f t="shared" si="8"/>
        <v>26821816.540585291</v>
      </c>
    </row>
    <row r="31" spans="4:20" x14ac:dyDescent="0.25">
      <c r="D31" s="97" t="s">
        <v>123</v>
      </c>
      <c r="F31" s="126">
        <f>E30+F30</f>
        <v>88972078.356626332</v>
      </c>
      <c r="G31" s="126">
        <f>G30+F31</f>
        <v>136080465.72461444</v>
      </c>
      <c r="H31" s="126">
        <f t="shared" ref="H31:S31" si="9">H30+G31</f>
        <v>184976768.03532195</v>
      </c>
      <c r="I31" s="126">
        <f t="shared" si="9"/>
        <v>235691865.1174385</v>
      </c>
      <c r="J31" s="126">
        <f t="shared" si="9"/>
        <v>250648591.28995383</v>
      </c>
      <c r="K31" s="126">
        <f t="shared" si="9"/>
        <v>266829502.37585977</v>
      </c>
      <c r="L31" s="126">
        <f t="shared" si="9"/>
        <v>284256531.4698233</v>
      </c>
      <c r="M31" s="126">
        <f t="shared" si="9"/>
        <v>302952269.65935141</v>
      </c>
      <c r="N31" s="126">
        <f t="shared" si="9"/>
        <v>322939985.76457626</v>
      </c>
      <c r="O31" s="126">
        <f t="shared" si="9"/>
        <v>344243646.67023408</v>
      </c>
      <c r="P31" s="126">
        <f t="shared" si="9"/>
        <v>366887938.26760304</v>
      </c>
      <c r="Q31" s="126">
        <f t="shared" si="9"/>
        <v>390898287.02469981</v>
      </c>
      <c r="R31" s="126">
        <f t="shared" si="9"/>
        <v>416300882.20358145</v>
      </c>
      <c r="S31" s="126">
        <f t="shared" si="9"/>
        <v>443122698.74416673</v>
      </c>
    </row>
    <row r="32" spans="4:20" x14ac:dyDescent="0.25">
      <c r="D32" s="97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</row>
    <row r="33" spans="4:19" x14ac:dyDescent="0.25">
      <c r="D33" s="97" t="s">
        <v>124</v>
      </c>
      <c r="E33" s="145">
        <f>E30/D4</f>
        <v>0.98395327950183709</v>
      </c>
      <c r="F33" s="145">
        <f>F30/$D$4</f>
        <v>1.02294965566467</v>
      </c>
      <c r="G33" s="145">
        <f t="shared" ref="G33:S33" si="10">G30/$D$4</f>
        <v>1.0626025897790548</v>
      </c>
      <c r="H33" s="145">
        <f t="shared" si="10"/>
        <v>1.1029317785835375</v>
      </c>
      <c r="I33" s="145">
        <f t="shared" si="10"/>
        <v>1.1439575097188213</v>
      </c>
      <c r="J33" s="145">
        <f t="shared" si="10"/>
        <v>0.33737210831230646</v>
      </c>
      <c r="K33" s="145">
        <f t="shared" si="10"/>
        <v>0.36498549378389794</v>
      </c>
      <c r="L33" s="145">
        <f t="shared" si="10"/>
        <v>0.39309361415297039</v>
      </c>
      <c r="M33" s="145">
        <f t="shared" si="10"/>
        <v>0.42171131146644847</v>
      </c>
      <c r="N33" s="145">
        <f t="shared" si="10"/>
        <v>0.45085387303266405</v>
      </c>
      <c r="O33" s="145">
        <f t="shared" si="10"/>
        <v>0.48053704477919967</v>
      </c>
      <c r="P33" s="145">
        <f t="shared" si="10"/>
        <v>0.51077704501146448</v>
      </c>
      <c r="Q33" s="145">
        <f t="shared" si="10"/>
        <v>0.5415905785840307</v>
      </c>
      <c r="R33" s="145">
        <f t="shared" si="10"/>
        <v>0.57299485149710716</v>
      </c>
      <c r="S33" s="145">
        <f t="shared" si="10"/>
        <v>0.6050075859309092</v>
      </c>
    </row>
    <row r="34" spans="4:19" x14ac:dyDescent="0.25">
      <c r="D34" s="97" t="s">
        <v>125</v>
      </c>
      <c r="E34" s="167">
        <f>E30/$D$3</f>
        <v>0.29518598385055111</v>
      </c>
      <c r="F34" s="167">
        <f t="shared" ref="F34:S34" si="11">F30/$D$3</f>
        <v>0.306884896699401</v>
      </c>
      <c r="G34" s="167">
        <f t="shared" si="11"/>
        <v>0.31878077693371643</v>
      </c>
      <c r="H34" s="167">
        <f t="shared" si="11"/>
        <v>0.33087953357506122</v>
      </c>
      <c r="I34" s="167">
        <f t="shared" si="11"/>
        <v>0.34318725291564633</v>
      </c>
      <c r="J34" s="145">
        <f t="shared" si="11"/>
        <v>0.10121163249369193</v>
      </c>
      <c r="K34" s="145">
        <f t="shared" si="11"/>
        <v>0.10949564813516938</v>
      </c>
      <c r="L34" s="145">
        <f t="shared" si="11"/>
        <v>0.11792808424589112</v>
      </c>
      <c r="M34" s="145">
        <f t="shared" si="11"/>
        <v>0.12651339343993454</v>
      </c>
      <c r="N34" s="145">
        <f t="shared" si="11"/>
        <v>0.13525616190979922</v>
      </c>
      <c r="O34" s="145">
        <f t="shared" si="11"/>
        <v>0.1441611134337599</v>
      </c>
      <c r="P34" s="145">
        <f t="shared" si="11"/>
        <v>0.15323311350343935</v>
      </c>
      <c r="Q34" s="145">
        <f t="shared" si="11"/>
        <v>0.16247717357520922</v>
      </c>
      <c r="R34" s="145">
        <f t="shared" si="11"/>
        <v>0.17189845544913215</v>
      </c>
      <c r="S34" s="145">
        <f t="shared" si="11"/>
        <v>0.18150227577927275</v>
      </c>
    </row>
  </sheetData>
  <mergeCells count="1">
    <mergeCell ref="C2:D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 $ energía</vt:lpstr>
      <vt:lpstr>Energia kWh de Operacion</vt:lpstr>
      <vt:lpstr>Volumen H2O m3</vt:lpstr>
      <vt:lpstr>Resumen</vt:lpstr>
      <vt:lpstr>Produccion energía eléctrica</vt:lpstr>
      <vt:lpstr>Model 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Alfredo Morales</dc:creator>
  <cp:lastModifiedBy>Adolfo Lizárraga</cp:lastModifiedBy>
  <dcterms:created xsi:type="dcterms:W3CDTF">2026-01-14T16:43:34Z</dcterms:created>
  <dcterms:modified xsi:type="dcterms:W3CDTF">2026-01-19T18:23:45Z</dcterms:modified>
</cp:coreProperties>
</file>